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&amp; Inputs" sheetId="1" state="visible" r:id="rId3"/>
    <sheet name="Path A — Bootstrap" sheetId="2" state="visible" r:id="rId4"/>
    <sheet name="Path B — VC Scale" sheetId="3" state="visible" r:id="rId5"/>
    <sheet name="Market Analysis" sheetId="4" state="visible" r:id="rId6"/>
    <sheet name="Competitive Landscap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<sst xmlns="http://schemas.openxmlformats.org/spreadsheetml/2006/main" count="271" uniqueCount="258">
  <si>
    <t xml:space="preserve">SHUFFL — Financial Model Assumptions</t>
  </si>
  <si>
    <t xml:space="preserve">Blue cells = hardcoded inputs (editable). Yellow highlight = key assumptions to adjust.</t>
  </si>
  <si>
    <t xml:space="preserve">MARKET SIZING</t>
  </si>
  <si>
    <t xml:space="preserve">US Gen Z adults (18-28)</t>
  </si>
  <si>
    <t xml:space="preserve">Source: Census Bureau / Pew Research 2026</t>
  </si>
  <si>
    <t xml:space="preserve">UK Gen Z adults (18-28)</t>
  </si>
  <si>
    <t xml:space="preserve">Source: ONS population estimates 2026</t>
  </si>
  <si>
    <t xml:space="preserve">Gen Z credit card ownership rate</t>
  </si>
  <si>
    <t xml:space="preserve">Source: Bankrate 57% → Self.inc 73%, trending up</t>
  </si>
  <si>
    <t xml:space="preserve">Annual new card applications (US)</t>
  </si>
  <si>
    <t xml:space="preserve">Source: NY Fed / TransUnion 2025</t>
  </si>
  <si>
    <t xml:space="preserve">Gen Z share of new applications</t>
  </si>
  <si>
    <t xml:space="preserve">Source: Estimated ~20-25% based on cohort growth</t>
  </si>
  <si>
    <t xml:space="preserve">UK annual new card applications</t>
  </si>
  <si>
    <t xml:space="preserve">Source: UK Finance / FCA estimates</t>
  </si>
  <si>
    <t xml:space="preserve">UK Gen Z share of applications</t>
  </si>
  <si>
    <t xml:space="preserve">Source: FCA Financial Lives 2024 — 29% ownership, low shopping rate</t>
  </si>
  <si>
    <t xml:space="preserve">REVENUE ASSUMPTIONS — AFFILIATE</t>
  </si>
  <si>
    <t xml:space="preserve">Avg US affiliate CPA (per approval)</t>
  </si>
  <si>
    <t xml:space="preserve">Source: Range $50-$200+; weighted avg for Gen Z card mix</t>
  </si>
  <si>
    <t xml:space="preserve">Avg UK affiliate CPA (per approval)</t>
  </si>
  <si>
    <t xml:space="preserve">Source: ~£60-80 GBP, converted; ClearScore implies ~£65/sale</t>
  </si>
  <si>
    <t xml:space="preserve">Click-to-application rate</t>
  </si>
  <si>
    <t xml:space="preserve">Industry benchmark for comparison sites</t>
  </si>
  <si>
    <t xml:space="preserve">Application-to-approval rate</t>
  </si>
  <si>
    <t xml:space="preserve">Source: ~20% decline rate overall; Gen Z slightly higher decline</t>
  </si>
  <si>
    <t xml:space="preserve">Effective conversion (visit→revenue)</t>
  </si>
  <si>
    <t xml:space="preserve">Users who complete quiz/browse x click x approve</t>
  </si>
  <si>
    <t xml:space="preserve">REVENUE ASSUMPTIONS — SUBSCRIPTION</t>
  </si>
  <si>
    <t xml:space="preserve">Monthly subscription price</t>
  </si>
  <si>
    <t xml:space="preserve">Comparable: ClearScore Protect £4.99/mo, MaxRewards $9/mo</t>
  </si>
  <si>
    <t xml:space="preserve">Annual subscription price</t>
  </si>
  <si>
    <t xml:space="preserve">~17% discount vs monthly</t>
  </si>
  <si>
    <t xml:space="preserve">Free-to-paid conversion rate</t>
  </si>
  <si>
    <t xml:space="preserve">Conservative; industry avg 2-5% for freemium fintech</t>
  </si>
  <si>
    <t xml:space="preserve">Monthly churn rate (subscribers)</t>
  </si>
  <si>
    <t xml:space="preserve">5% monthly = ~46% annual retention</t>
  </si>
  <si>
    <t xml:space="preserve">% choosing annual vs monthly</t>
  </si>
  <si>
    <t xml:space="preserve">40% annual, 60% monthly</t>
  </si>
  <si>
    <t xml:space="preserve">USER ACQUISITION</t>
  </si>
  <si>
    <t xml:space="preserve">Organic/viral CAC</t>
  </si>
  <si>
    <t xml:space="preserve">Social media, SEO, word-of-mouth — near-zero marginal cost</t>
  </si>
  <si>
    <t xml:space="preserve">Paid CAC (social ads)</t>
  </si>
  <si>
    <t xml:space="preserve">TikTok/Instagram ads targeting Gen Z; below fintech avg $15-25</t>
  </si>
  <si>
    <t xml:space="preserve">Influencer CAC</t>
  </si>
  <si>
    <t xml:space="preserve">Cost per user from influencer partnerships / affiliate deals</t>
  </si>
  <si>
    <t xml:space="preserve">Blended CAC</t>
  </si>
  <si>
    <t xml:space="preserve">Weighted average across all channels</t>
  </si>
  <si>
    <t xml:space="preserve">Organic share of acquisition (Y1)</t>
  </si>
  <si>
    <t xml:space="preserve">50% organic in Y1, growing to 65% by Y3</t>
  </si>
  <si>
    <t xml:space="preserve">Monthly user retention (M1→M12)</t>
  </si>
  <si>
    <t xml:space="preserve">30% of new users return within 12 months</t>
  </si>
  <si>
    <t xml:space="preserve">OPERATING COSTS</t>
  </si>
  <si>
    <t xml:space="preserve">Founder salaries (each, annual)</t>
  </si>
  <si>
    <t xml:space="preserve">Bootstrapped: £0 initially; VC path: market rate from Series A</t>
  </si>
  <si>
    <t xml:space="preserve">Hosting &amp; infrastructure (monthly)</t>
  </si>
  <si>
    <t xml:space="preserve">Heroku/AWS starter tier; scales with users</t>
  </si>
  <si>
    <t xml:space="preserve">FCA authorisation cost (one-time)</t>
  </si>
  <si>
    <t xml:space="preserve">Source: FCA — £1,130 application fee + legal costs</t>
  </si>
  <si>
    <t xml:space="preserve">Legal &amp; compliance (annual)</t>
  </si>
  <si>
    <t xml:space="preserve">FCA ongoing fees + basic legal; increases with scale</t>
  </si>
  <si>
    <t xml:space="preserve">Marketing budget (monthly, Y1)</t>
  </si>
  <si>
    <t xml:space="preserve">Bootstrap path; VC path significantly higher</t>
  </si>
  <si>
    <t xml:space="preserve">Tools &amp; subscriptions (monthly)</t>
  </si>
  <si>
    <t xml:space="preserve">Analytics, email, design tools</t>
  </si>
  <si>
    <t xml:space="preserve">COMPARABLE COMPANY METRICS</t>
  </si>
  <si>
    <t xml:space="preserve">NerdWallet FY2025 revenue</t>
  </si>
  <si>
    <t xml:space="preserve">Source: NerdWallet 10-K FY2025</t>
  </si>
  <si>
    <t xml:space="preserve">NerdWallet market cap (Sep 2026)</t>
  </si>
  <si>
    <t xml:space="preserve">Source: StockAnalysis.com</t>
  </si>
  <si>
    <t xml:space="preserve">NerdWallet revenue multiple</t>
  </si>
  <si>
    <t xml:space="preserve">Credit Karma acquisition price</t>
  </si>
  <si>
    <t xml:space="preserve">Source: Intuit acquisition 2020</t>
  </si>
  <si>
    <t xml:space="preserve">Credit Karma est. revenue at acq.</t>
  </si>
  <si>
    <t xml:space="preserve">Source: Estimated ~$1B at time of acquisition</t>
  </si>
  <si>
    <t xml:space="preserve">Credit Karma revenue multiple</t>
  </si>
  <si>
    <t xml:space="preserve">ClearScore valuation (2021)</t>
  </si>
  <si>
    <t xml:space="preserve">Source: Invus Opportunities investment round</t>
  </si>
  <si>
    <t xml:space="preserve">ClearScore FY2025 revenue</t>
  </si>
  <si>
    <t xml:space="preserve">Source: ClearScore FY2025 annual results (£144.7M ≈ $183M)</t>
  </si>
  <si>
    <t xml:space="preserve">SHUFFL — Bootstrap / Lean Path</t>
  </si>
  <si>
    <t xml:space="preserve">Monthly projections: Months 1-12 (Year 1)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</si>
  <si>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</si>
  <si>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</si>
  <si>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</si>
  <si>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</si>
  <si>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</si>
  <si>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</si>
  <si>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</si>
  <si>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</si>
  <si>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</si>
  <si>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</si>
  <si>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</si>
  <si>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</si>
  <si>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</si>
  <si>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USER GROWTH</t>
  </si>
  <si>
    <t xml:space="preserve">New users (monthly)</t>
  </si>
  <si>
    <t xml:space="preserve">Cumulative registered users</t>
  </si>
  <si>
    <t xml:space="preserve">Monthly active users (MAU)</t>
  </si>
  <si>
    <t xml:space="preserve">Quiz completions</t>
  </si>
  <si>
    <t xml:space="preserve">AFFILIATE REVENUE</t>
  </si>
  <si>
    <t xml:space="preserve">Card application clicks</t>
  </si>
  <si>
    <t xml:space="preserve">Approved applications</t>
  </si>
  <si>
    <t xml:space="preserve">Affiliate revenue</t>
  </si>
  <si>
    <t xml:space="preserve">SUBSCRIPTION REVENUE</t>
  </si>
  <si>
    <t xml:space="preserve">New subscribers (monthly)</t>
  </si>
  <si>
    <t xml:space="preserve">Active subscribers</t>
  </si>
  <si>
    <t xml:space="preserve">Subscription revenue</t>
  </si>
  <si>
    <t xml:space="preserve">TOTAL REVENUE</t>
  </si>
  <si>
    <t xml:space="preserve">Total monthly revenue</t>
  </si>
  <si>
    <t xml:space="preserve">Cumulative revenue (YTD)</t>
  </si>
  <si>
    <t xml:space="preserve">OPERATING EXPENSES</t>
  </si>
  <si>
    <t xml:space="preserve">Hosting &amp; infrastructure</t>
  </si>
  <si>
    <t xml:space="preserve">Marketing &amp; user acquisition</t>
  </si>
  <si>
    <t xml:space="preserve">Tools &amp; subscriptions</t>
  </si>
  <si>
    <t xml:space="preserve">Legal &amp; compliance</t>
  </si>
  <si>
    <t xml:space="preserve">Founder compensation</t>
  </si>
  <si>
    <t xml:space="preserve">Total operating expenses</t>
  </si>
  <si>
    <t xml:space="preserve">PROFITABILITY</t>
  </si>
  <si>
    <t xml:space="preserve">Net income / (loss)</t>
  </si>
  <si>
    <t xml:space="preserve">Cumulative P&amp;L</t>
  </si>
  <si>
    <t xml:space="preserve">Net margin</t>
  </si>
  <si>
    <t xml:space="preserve">UNIT ECONOMICS</t>
  </si>
  <si>
    <t xml:space="preserve">Revenue per MAU</t>
  </si>
  <si>
    <t xml:space="preserve">CAC (marketing / new users)</t>
  </si>
  <si>
    <t xml:space="preserve">Affiliate rev per approval</t>
  </si>
  <si>
    <t xml:space="preserve">SHUFFL — VC / Growth Path</t>
  </si>
  <si>
    <t xml:space="preserve">Annual projections: Years 1-4</t>
  </si>
  <si>
    <t xml:space="preserve">Year 1</t>
  </si>
  <si>
    <t xml:space="preserve">Year 2</t>
  </si>
  <si>
    <t xml:space="preserve">Year 3</t>
  </si>
  <si>
    <t xml:space="preserve">Year 4</t>
  </si>
  <si>
    <t xml:space="preserve">FUNDING ROUNDS</t>
  </si>
  <si>
    <t xml:space="preserve">Pre-seed raise</t>
  </si>
  <si>
    <t xml:space="preserve">Seed raise</t>
  </si>
  <si>
    <t xml:space="preserve">Series A raise</t>
  </si>
  <si>
    <t xml:space="preserve">Total funding raised (cumulative)</t>
  </si>
  <si>
    <t xml:space="preserve">Pre-money valuation</t>
  </si>
  <si>
    <t xml:space="preserve">New users (annual)</t>
  </si>
  <si>
    <t xml:space="preserve">Average MAU</t>
  </si>
  <si>
    <t xml:space="preserve">REVENUE</t>
  </si>
  <si>
    <t xml:space="preserve">Total revenue</t>
  </si>
  <si>
    <t xml:space="preserve">YoY revenue growth</t>
  </si>
  <si>
    <t xml:space="preserve">—</t>
  </si>
  <si>
    <t xml:space="preserve">Team salaries &amp; benefits</t>
  </si>
  <si>
    <t xml:space="preserve">Legal, compliance &amp; FCA</t>
  </si>
  <si>
    <t xml:space="preserve">Office &amp; operations</t>
  </si>
  <si>
    <t xml:space="preserve">Tools, software &amp; data</t>
  </si>
  <si>
    <t xml:space="preserve">EBITDA</t>
  </si>
  <si>
    <t xml:space="preserve">EBITDA margin</t>
  </si>
  <si>
    <t xml:space="preserve">Cash burn (EBITDA - funding)</t>
  </si>
  <si>
    <t xml:space="preserve">Cumulative cash position</t>
  </si>
  <si>
    <t xml:space="preserve">VALUATION SCENARIOS</t>
  </si>
  <si>
    <t xml:space="preserve">Revenue multiple (NerdWallet comp)</t>
  </si>
  <si>
    <t xml:space="preserve">Revenue multiple (CK/ClearScore)</t>
  </si>
  <si>
    <t xml:space="preserve">Implied valuation (conservative)</t>
  </si>
  <si>
    <t xml:space="preserve">Implied valuation (growth)</t>
  </si>
  <si>
    <t xml:space="preserve">TAM / SAM / SOM Analysis</t>
  </si>
  <si>
    <t xml:space="preserve">US</t>
  </si>
  <si>
    <t xml:space="preserve">UK</t>
  </si>
  <si>
    <t xml:space="preserve">Combined</t>
  </si>
  <si>
    <t xml:space="preserve">Source</t>
  </si>
  <si>
    <t xml:space="preserve">TOTAL ADDRESSABLE MARKET (TAM)</t>
  </si>
  <si>
    <t xml:space="preserve">Credit card affiliate market</t>
  </si>
  <si>
    <t xml:space="preserve">NerdWallet + peers revenue analysis</t>
  </si>
  <si>
    <t xml:space="preserve">Gen Z adults (18-28)</t>
  </si>
  <si>
    <t xml:space="preserve">Census / ONS</t>
  </si>
  <si>
    <t xml:space="preserve">Gen Z with credit cards</t>
  </si>
  <si>
    <t xml:space="preserve">Bankrate / FCA Financial Lives</t>
  </si>
  <si>
    <t xml:space="preserve">New card applications (annual)</t>
  </si>
  <si>
    <t xml:space="preserve">NY Fed / UK Finance</t>
  </si>
  <si>
    <t xml:space="preserve">Gen Z share of new apps</t>
  </si>
  <si>
    <t xml:space="preserve">Estimated from cohort data</t>
  </si>
  <si>
    <t xml:space="preserve">SERVICEABLE ADDRESSABLE MARKET (SAM)</t>
  </si>
  <si>
    <t xml:space="preserve">Gen Z seeking card recommendations</t>
  </si>
  <si>
    <t xml:space="preserve">Online comparison-active Gen Z users in US — est. 40% of Gen Z card seekers</t>
  </si>
  <si>
    <t xml:space="preserve">SAM: Revenue opportunity</t>
  </si>
  <si>
    <t xml:space="preserve">Gen Z card seekers × $110 avg CPA × comparison site capture rate</t>
  </si>
  <si>
    <t xml:space="preserve">SERVICEABLE OBTAINABLE MARKET (SOM) — Year 3</t>
  </si>
  <si>
    <t xml:space="preserve">Target market share (Year 3)</t>
  </si>
  <si>
    <t xml:space="preserve">SOM: Realistic Year 3 revenue</t>
  </si>
  <si>
    <t xml:space="preserve">2% of SAM — conservative for a differentiated product</t>
  </si>
  <si>
    <t xml:space="preserve">Competitive Landscape</t>
  </si>
  <si>
    <t xml:space="preserve">Company</t>
  </si>
  <si>
    <t xml:space="preserve">Revenue</t>
  </si>
  <si>
    <t xml:space="preserve">Users</t>
  </si>
  <si>
    <t xml:space="preserve">Valuation / Mkt Cap</t>
  </si>
  <si>
    <t xml:space="preserve">Model</t>
  </si>
  <si>
    <t xml:space="preserve">Founded</t>
  </si>
  <si>
    <t xml:space="preserve">Key Differentiator</t>
  </si>
  <si>
    <t xml:space="preserve">NerdWallet</t>
  </si>
  <si>
    <t xml:space="preserve">$836.6M (FY2025)</t>
  </si>
  <si>
    <t xml:space="preserve">Millions MAU</t>
  </si>
  <si>
    <t xml:space="preserve">$599M mkt cap</t>
  </si>
  <si>
    <t xml:space="preserve">Affiliate + ads</t>
  </si>
  <si>
    <t xml:space="preserve">2009</t>
  </si>
  <si>
    <t xml:space="preserve">SEO powerhouse; public co.</t>
  </si>
  <si>
    <t xml:space="preserve">Credit Karma</t>
  </si>
  <si>
    <t xml:space="preserve">~$2.5B (est.)</t>
  </si>
  <si>
    <t xml:space="preserve">130M+ members</t>
  </si>
  <si>
    <t xml:space="preserve">$8.1B (acq.)</t>
  </si>
  <si>
    <t xml:space="preserve">Affiliate CPA/CPC</t>
  </si>
  <si>
    <t xml:space="preserve">2007</t>
  </si>
  <si>
    <t xml:space="preserve">Free credit scores + recs</t>
  </si>
  <si>
    <t xml:space="preserve">Bankrate / TPG</t>
  </si>
  <si>
    <t xml:space="preserve">~$500M+ (est.)</t>
  </si>
  <si>
    <t xml:space="preserve">~25M monthly</t>
  </si>
  <si>
    <t xml:space="preserve">$1.24B (acq.)</t>
  </si>
  <si>
    <t xml:space="preserve">Affiliate content</t>
  </si>
  <si>
    <t xml:space="preserve">1976/2010</t>
  </si>
  <si>
    <t xml:space="preserve">Red Ventures portfolio; SEO</t>
  </si>
  <si>
    <t xml:space="preserve">LendingTree</t>
  </si>
  <si>
    <t xml:space="preserve">$1.12B (FY2025)</t>
  </si>
  <si>
    <t xml:space="preserve">Millions</t>
  </si>
  <si>
    <t xml:space="preserve">$600M mkt cap</t>
  </si>
  <si>
    <t xml:space="preserve">Lead gen / affiliate</t>
  </si>
  <si>
    <t xml:space="preserve">1996</t>
  </si>
  <si>
    <t xml:space="preserve">Multi-product marketplace</t>
  </si>
  <si>
    <t xml:space="preserve">WalletHub</t>
  </si>
  <si>
    <t xml:space="preserve">~$20M (est.)</t>
  </si>
  <si>
    <t xml:space="preserve">80M+ annual</t>
  </si>
  <si>
    <t xml:space="preserve">Private</t>
  </si>
  <si>
    <t xml:space="preserve">Affiliate + ads + sub</t>
  </si>
  <si>
    <t xml:space="preserve">2013</t>
  </si>
  <si>
    <t xml:space="preserve">Free daily credit reports</t>
  </si>
  <si>
    <t xml:space="preserve">ClearScore</t>
  </si>
  <si>
    <t xml:space="preserve">£144.7M (FY2025)</t>
  </si>
  <si>
    <t xml:space="preserve">25M+ global</t>
  </si>
  <si>
    <t xml:space="preserve">$700M (2021)</t>
  </si>
  <si>
    <t xml:space="preserve">Affiliate + subscription</t>
  </si>
  <si>
    <t xml:space="preserve">2015</t>
  </si>
  <si>
    <t xml:space="preserve">UK leader; expanding globally</t>
  </si>
  <si>
    <t xml:space="preserve">MoneySuperMarket</t>
  </si>
  <si>
    <t xml:space="preserve">£446M group</t>
  </si>
  <si>
    <t xml:space="preserve">12.7M active</t>
  </si>
  <si>
    <t xml:space="preserve">£1.3B mkt cap</t>
  </si>
  <si>
    <t xml:space="preserve">Affiliate CPA</t>
  </si>
  <si>
    <t xml:space="preserve">1999</t>
  </si>
  <si>
    <t xml:space="preserve">UK Big Four comparison</t>
  </si>
  <si>
    <t xml:space="preserve">MaxRewards</t>
  </si>
  <si>
    <t xml:space="preserve">~$5M (est.)</t>
  </si>
  <si>
    <t xml:space="preserve">~100K+ users</t>
  </si>
  <si>
    <t xml:space="preserve">Seed stage</t>
  </si>
  <si>
    <t xml:space="preserve">Subscription + affiliate</t>
  </si>
  <si>
    <t xml:space="preserve">2019</t>
  </si>
  <si>
    <t xml:space="preserve">Optimise existing cards</t>
  </si>
  <si>
    <t xml:space="preserve">CardPointers</t>
  </si>
  <si>
    <t xml:space="preserve">&lt;$1M (est.)</t>
  </si>
  <si>
    <t xml:space="preserve">~50K+ users</t>
  </si>
  <si>
    <t xml:space="preserve">Bootstrapped</t>
  </si>
  <si>
    <t xml:space="preserve">Subscription</t>
  </si>
  <si>
    <t xml:space="preserve">Solo founder; indie</t>
  </si>
  <si>
    <t xml:space="preserve">Shuffl</t>
  </si>
  <si>
    <t xml:space="preserve">$0 (pre-launch)</t>
  </si>
  <si>
    <t xml:space="preserve">0</t>
  </si>
  <si>
    <t xml:space="preserve">Pre-seed</t>
  </si>
  <si>
    <t xml:space="preserve">2026</t>
  </si>
  <si>
    <t xml:space="preserve">Gen Z stacks; quiz-first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</si>
</sst>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"/>
    <numFmt numFmtId="168" formatCode="\$#,##0.00"/>
    <numFmt numFmtId="169" formatCode="0.0\x"/>
    <numFmt numFmtId="170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276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0F2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E276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1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5042"/>
      <rgbColor rgb="FFF0F2F8"/>
      <rgbColor rgb="FFCCFFFF"/>
      <rgbColor rgb="FF660066"/>
      <rgbColor rgb="FFFF8080"/>
      <rgbColor rgb="FF065A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52000000</v>
      </c>
      <c r="C5" s="2" t="s">
        <v>4</v>
      </c>
    </row>
    <row r="6" customFormat="false" ht="15" hidden="false" customHeight="false" outlineLevel="0" collapsed="false">
      <c r="A6" s="5" t="s">
        <v>5</v>
      </c>
      <c r="B6" s="6" t="n">
        <v>9500000</v>
      </c>
      <c r="C6" s="2" t="s">
        <v>6</v>
      </c>
    </row>
    <row r="7" customFormat="false" ht="15" hidden="false" customHeight="false" outlineLevel="0" collapsed="false">
      <c r="A7" s="5" t="s">
        <v>7</v>
      </c>
      <c r="B7" s="7" t="n">
        <v>0.65</v>
      </c>
      <c r="C7" s="2" t="s">
        <v>8</v>
      </c>
    </row>
    <row r="8" customFormat="false" ht="15" hidden="false" customHeight="false" outlineLevel="0" collapsed="false">
      <c r="A8" s="5" t="s">
        <v>9</v>
      </c>
      <c r="B8" s="6" t="n">
        <v>37000000</v>
      </c>
      <c r="C8" s="2" t="s">
        <v>10</v>
      </c>
    </row>
    <row r="9" customFormat="false" ht="15" hidden="false" customHeight="false" outlineLevel="0" collapsed="false">
      <c r="A9" s="5" t="s">
        <v>11</v>
      </c>
      <c r="B9" s="7" t="n">
        <v>0.22</v>
      </c>
      <c r="C9" s="2" t="s">
        <v>12</v>
      </c>
    </row>
    <row r="10" customFormat="false" ht="15" hidden="false" customHeight="false" outlineLevel="0" collapsed="false">
      <c r="A10" s="5" t="s">
        <v>13</v>
      </c>
      <c r="B10" s="6" t="n">
        <v>10000000</v>
      </c>
      <c r="C10" s="2" t="s">
        <v>14</v>
      </c>
    </row>
    <row r="11" customFormat="false" ht="15" hidden="false" customHeight="false" outlineLevel="0" collapsed="false">
      <c r="A11" s="5" t="s">
        <v>15</v>
      </c>
      <c r="B11" s="7" t="n">
        <v>0.15</v>
      </c>
      <c r="C11" s="2" t="s">
        <v>16</v>
      </c>
    </row>
    <row r="13" customFormat="false" ht="15" hidden="false" customHeight="false" outlineLevel="0" collapsed="false">
      <c r="A13" s="3" t="s">
        <v>17</v>
      </c>
      <c r="B13" s="4"/>
      <c r="C13" s="4"/>
    </row>
    <row r="14" customFormat="false" ht="15" hidden="false" customHeight="false" outlineLevel="0" collapsed="false">
      <c r="A14" s="5" t="s">
        <v>18</v>
      </c>
      <c r="B14" s="8" t="n">
        <v>125</v>
      </c>
      <c r="C14" s="2" t="s">
        <v>19</v>
      </c>
    </row>
    <row r="15" customFormat="false" ht="15" hidden="false" customHeight="false" outlineLevel="0" collapsed="false">
      <c r="A15" s="5" t="s">
        <v>20</v>
      </c>
      <c r="B15" s="8" t="n">
        <v>75</v>
      </c>
      <c r="C15" s="2" t="s">
        <v>21</v>
      </c>
    </row>
    <row r="16" customFormat="false" ht="15" hidden="false" customHeight="false" outlineLevel="0" collapsed="false">
      <c r="A16" s="5" t="s">
        <v>22</v>
      </c>
      <c r="B16" s="7" t="n">
        <v>0.35</v>
      </c>
      <c r="C16" s="2" t="s">
        <v>23</v>
      </c>
    </row>
    <row r="17" customFormat="false" ht="15" hidden="false" customHeight="false" outlineLevel="0" collapsed="false">
      <c r="A17" s="5" t="s">
        <v>24</v>
      </c>
      <c r="B17" s="7" t="n">
        <v>0.55</v>
      </c>
      <c r="C17" s="2" t="s">
        <v>25</v>
      </c>
    </row>
    <row r="18" customFormat="false" ht="15" hidden="false" customHeight="false" outlineLevel="0" collapsed="false">
      <c r="A18" s="5" t="s">
        <v>26</v>
      </c>
      <c r="B18" s="7" t="n">
        <v>0.05</v>
      </c>
      <c r="C18" s="2" t="s">
        <v>27</v>
      </c>
    </row>
    <row r="20" customFormat="false" ht="15" hidden="false" customHeight="false" outlineLevel="0" collapsed="false">
      <c r="A20" s="3" t="s">
        <v>28</v>
      </c>
      <c r="B20" s="4"/>
      <c r="C20" s="4"/>
    </row>
    <row r="21" customFormat="false" ht="15" hidden="false" customHeight="false" outlineLevel="0" collapsed="false">
      <c r="A21" s="5" t="s">
        <v>29</v>
      </c>
      <c r="B21" s="9" t="n">
        <v>4.99</v>
      </c>
      <c r="C21" s="2" t="s">
        <v>30</v>
      </c>
    </row>
    <row r="22" customFormat="false" ht="15" hidden="false" customHeight="false" outlineLevel="0" collapsed="false">
      <c r="A22" s="5" t="s">
        <v>31</v>
      </c>
      <c r="B22" s="9" t="n">
        <v>49.99</v>
      </c>
      <c r="C22" s="2" t="s">
        <v>32</v>
      </c>
    </row>
    <row r="23" customFormat="false" ht="15" hidden="false" customHeight="false" outlineLevel="0" collapsed="false">
      <c r="A23" s="5" t="s">
        <v>33</v>
      </c>
      <c r="B23" s="7" t="n">
        <v>0.03</v>
      </c>
      <c r="C23" s="2" t="s">
        <v>34</v>
      </c>
    </row>
    <row r="24" customFormat="false" ht="15" hidden="false" customHeight="false" outlineLevel="0" collapsed="false">
      <c r="A24" s="5" t="s">
        <v>35</v>
      </c>
      <c r="B24" s="7" t="n">
        <v>0.05</v>
      </c>
      <c r="C24" s="2" t="s">
        <v>36</v>
      </c>
    </row>
    <row r="25" customFormat="false" ht="15" hidden="false" customHeight="false" outlineLevel="0" collapsed="false">
      <c r="A25" s="5" t="s">
        <v>37</v>
      </c>
      <c r="B25" s="7" t="n">
        <v>0.4</v>
      </c>
      <c r="C25" s="2" t="s">
        <v>38</v>
      </c>
    </row>
    <row r="27" customFormat="false" ht="15" hidden="false" customHeight="false" outlineLevel="0" collapsed="false">
      <c r="A27" s="3" t="s">
        <v>39</v>
      </c>
      <c r="B27" s="4"/>
      <c r="C27" s="4"/>
    </row>
    <row r="28" customFormat="false" ht="15" hidden="false" customHeight="false" outlineLevel="0" collapsed="false">
      <c r="A28" s="5" t="s">
        <v>40</v>
      </c>
      <c r="B28" s="8" t="n">
        <v>2</v>
      </c>
      <c r="C28" s="2" t="s">
        <v>41</v>
      </c>
    </row>
    <row r="29" customFormat="false" ht="15" hidden="false" customHeight="false" outlineLevel="0" collapsed="false">
      <c r="A29" s="5" t="s">
        <v>42</v>
      </c>
      <c r="B29" s="8" t="n">
        <v>8</v>
      </c>
      <c r="C29" s="2" t="s">
        <v>43</v>
      </c>
    </row>
    <row r="30" customFormat="false" ht="15" hidden="false" customHeight="false" outlineLevel="0" collapsed="false">
      <c r="A30" s="5" t="s">
        <v>44</v>
      </c>
      <c r="B30" s="8" t="n">
        <v>5</v>
      </c>
      <c r="C30" s="2" t="s">
        <v>45</v>
      </c>
    </row>
    <row r="31" customFormat="false" ht="15" hidden="false" customHeight="false" outlineLevel="0" collapsed="false">
      <c r="A31" s="5" t="s">
        <v>46</v>
      </c>
      <c r="B31" s="8" t="n">
        <v>5</v>
      </c>
      <c r="C31" s="2" t="s">
        <v>47</v>
      </c>
    </row>
    <row r="32" customFormat="false" ht="15" hidden="false" customHeight="false" outlineLevel="0" collapsed="false">
      <c r="A32" s="5" t="s">
        <v>48</v>
      </c>
      <c r="B32" s="7" t="n">
        <v>0.5</v>
      </c>
      <c r="C32" s="2" t="s">
        <v>49</v>
      </c>
    </row>
    <row r="33" customFormat="false" ht="15" hidden="false" customHeight="false" outlineLevel="0" collapsed="false">
      <c r="A33" s="5" t="s">
        <v>50</v>
      </c>
      <c r="B33" s="7" t="n">
        <v>0.3</v>
      </c>
      <c r="C33" s="2" t="s">
        <v>51</v>
      </c>
    </row>
    <row r="35" customFormat="false" ht="15" hidden="false" customHeight="false" outlineLevel="0" collapsed="false">
      <c r="A35" s="3" t="s">
        <v>52</v>
      </c>
      <c r="B35" s="4"/>
      <c r="C35" s="4"/>
    </row>
    <row r="36" customFormat="false" ht="15" hidden="false" customHeight="false" outlineLevel="0" collapsed="false">
      <c r="A36" s="5" t="s">
        <v>53</v>
      </c>
      <c r="B36" s="8" t="n">
        <v>0</v>
      </c>
      <c r="C36" s="2" t="s">
        <v>54</v>
      </c>
    </row>
    <row r="37" customFormat="false" ht="15" hidden="false" customHeight="false" outlineLevel="0" collapsed="false">
      <c r="A37" s="5" t="s">
        <v>55</v>
      </c>
      <c r="B37" s="8" t="n">
        <v>200</v>
      </c>
      <c r="C37" s="2" t="s">
        <v>56</v>
      </c>
    </row>
    <row r="38" customFormat="false" ht="15" hidden="false" customHeight="false" outlineLevel="0" collapsed="false">
      <c r="A38" s="5" t="s">
        <v>57</v>
      </c>
      <c r="B38" s="8" t="n">
        <v>1500</v>
      </c>
      <c r="C38" s="2" t="s">
        <v>58</v>
      </c>
    </row>
    <row r="39" customFormat="false" ht="15" hidden="false" customHeight="false" outlineLevel="0" collapsed="false">
      <c r="A39" s="5" t="s">
        <v>59</v>
      </c>
      <c r="B39" s="8" t="n">
        <v>5000</v>
      </c>
      <c r="C39" s="2" t="s">
        <v>60</v>
      </c>
    </row>
    <row r="40" customFormat="false" ht="15" hidden="false" customHeight="false" outlineLevel="0" collapsed="false">
      <c r="A40" s="5" t="s">
        <v>61</v>
      </c>
      <c r="B40" s="8" t="n">
        <v>2000</v>
      </c>
      <c r="C40" s="2" t="s">
        <v>62</v>
      </c>
    </row>
    <row r="41" customFormat="false" ht="15" hidden="false" customHeight="false" outlineLevel="0" collapsed="false">
      <c r="A41" s="5" t="s">
        <v>63</v>
      </c>
      <c r="B41" s="8" t="n">
        <v>200</v>
      </c>
      <c r="C41" s="2" t="s">
        <v>64</v>
      </c>
    </row>
    <row r="43" customFormat="false" ht="15" hidden="false" customHeight="false" outlineLevel="0" collapsed="false">
      <c r="A43" s="3" t="s">
        <v>65</v>
      </c>
      <c r="B43" s="4"/>
      <c r="C43" s="4"/>
    </row>
    <row r="44" customFormat="false" ht="15" hidden="false" customHeight="false" outlineLevel="0" collapsed="false">
      <c r="A44" s="5" t="s">
        <v>66</v>
      </c>
      <c r="B44" s="10" t="n">
        <v>836600000</v>
      </c>
      <c r="C44" s="2" t="s">
        <v>67</v>
      </c>
    </row>
    <row r="45" customFormat="false" ht="15" hidden="false" customHeight="false" outlineLevel="0" collapsed="false">
      <c r="A45" s="5" t="s">
        <v>68</v>
      </c>
      <c r="B45" s="10" t="n">
        <v>599000000</v>
      </c>
      <c r="C45" s="2" t="s">
        <v>69</v>
      </c>
    </row>
    <row r="46" customFormat="false" ht="15" hidden="false" customHeight="false" outlineLevel="0" collapsed="false">
      <c r="A46" s="5" t="s">
        <v>70</v>
      </c>
      <c r="B46" s="11" t="n">
        <f aca="false">B45/B44</f>
        <v>0.715993306239541</v>
      </c>
    </row>
    <row r="47" customFormat="false" ht="15" hidden="false" customHeight="false" outlineLevel="0" collapsed="false">
      <c r="A47" s="5" t="s">
        <v>71</v>
      </c>
      <c r="B47" s="10" t="n">
        <v>8100000000</v>
      </c>
      <c r="C47" s="2" t="s">
        <v>72</v>
      </c>
    </row>
    <row r="48" customFormat="false" ht="15" hidden="false" customHeight="false" outlineLevel="0" collapsed="false">
      <c r="A48" s="5" t="s">
        <v>73</v>
      </c>
      <c r="B48" s="10" t="n">
        <v>1000000000</v>
      </c>
      <c r="C48" s="2" t="s">
        <v>74</v>
      </c>
    </row>
    <row r="49" customFormat="false" ht="15" hidden="false" customHeight="false" outlineLevel="0" collapsed="false">
      <c r="A49" s="5" t="s">
        <v>75</v>
      </c>
      <c r="B49" s="11" t="n">
        <f aca="false">B48/B47</f>
        <v>0.123456790123457</v>
      </c>
    </row>
    <row r="50" customFormat="false" ht="15" hidden="false" customHeight="false" outlineLevel="0" collapsed="false">
      <c r="A50" s="5" t="s">
        <v>76</v>
      </c>
      <c r="B50" s="10" t="n">
        <v>700000000</v>
      </c>
      <c r="C50" s="2" t="s">
        <v>77</v>
      </c>
    </row>
    <row r="51" customFormat="false" ht="15" hidden="false" customHeight="false" outlineLevel="0" collapsed="false">
      <c r="A51" s="5" t="s">
        <v>78</v>
      </c>
      <c r="B51" s="10" t="n">
        <v>144700000</v>
      </c>
      <c r="C51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2D"/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12" t="s">
        <v>81</v>
      </c>
    </row>
    <row r="4" customFormat="false" ht="15" hidden="false" customHeight="false" outlineLevel="0" collapsed="false">
      <c r="A4" s="13" t="s">
        <v>82</v>
      </c>
      <c r="B4" s="14" t="s">
        <v>83</v>
      </c>
      <c r="C4" s="14" t="s">
        <v>84</v>
      </c>
      <c r="D4" s="14" t="s">
        <v>85</v>
      </c>
      <c r="E4" s="14" t="s">
        <v>86</v>
      </c>
      <c r="F4" s="14" t="s">
        <v>87</v>
      </c>
      <c r="G4" s="14" t="s">
        <v>88</v>
      </c>
      <c r="H4" s="14" t="s">
        <v>89</v>
      </c>
      <c r="I4" s="14" t="s">
        <v>90</v>
      </c>
      <c r="J4" s="14" t="s">
        <v>91</v>
      </c>
      <c r="K4" s="14" t="s">
        <v>92</v>
      </c>
      <c r="L4" s="14" t="s">
        <v>93</v>
      </c>
      <c r="M4" s="14" t="s">
        <v>94</v>
      </c>
    </row>
    <row r="6" customFormat="false" ht="15" hidden="false" customHeight="false" outlineLevel="0" collapsed="false">
      <c r="A6" s="3" t="s">
        <v>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5" t="s">
        <v>96</v>
      </c>
      <c r="B7" s="6" t="n">
        <v>500</v>
      </c>
      <c r="C7" s="6" t="n">
        <v>800</v>
      </c>
      <c r="D7" s="6" t="n">
        <v>1200</v>
      </c>
      <c r="E7" s="6" t="n">
        <v>1800</v>
      </c>
      <c r="F7" s="6" t="n">
        <v>2500</v>
      </c>
      <c r="G7" s="6" t="n">
        <v>3500</v>
      </c>
      <c r="H7" s="6" t="n">
        <v>5000</v>
      </c>
      <c r="I7" s="6" t="n">
        <v>7000</v>
      </c>
      <c r="J7" s="6" t="n">
        <v>9000</v>
      </c>
      <c r="K7" s="6" t="n">
        <v>12000</v>
      </c>
      <c r="L7" s="6" t="n">
        <v>15000</v>
      </c>
      <c r="M7" s="6" t="n">
        <v>20000</v>
      </c>
    </row>
    <row r="8" customFormat="false" ht="15" hidden="false" customHeight="false" outlineLevel="0" collapsed="false">
      <c r="A8" s="5" t="s">
        <v>97</v>
      </c>
      <c r="B8" s="15" t="n">
        <f aca="false">B7</f>
        <v>500</v>
      </c>
      <c r="C8" s="15" t="n">
        <f aca="false">B8+C7</f>
        <v>1300</v>
      </c>
      <c r="D8" s="15" t="n">
        <f aca="false">C8+D7</f>
        <v>2500</v>
      </c>
      <c r="E8" s="15" t="n">
        <f aca="false">D8+E7</f>
        <v>4300</v>
      </c>
      <c r="F8" s="15" t="n">
        <f aca="false">E8+F7</f>
        <v>6800</v>
      </c>
      <c r="G8" s="15" t="n">
        <f aca="false">F8+G7</f>
        <v>10300</v>
      </c>
      <c r="H8" s="15" t="n">
        <f aca="false">G8+H7</f>
        <v>15300</v>
      </c>
      <c r="I8" s="15" t="n">
        <f aca="false">H8+I7</f>
        <v>22300</v>
      </c>
      <c r="J8" s="15" t="n">
        <f aca="false">I8+J7</f>
        <v>31300</v>
      </c>
      <c r="K8" s="15" t="n">
        <f aca="false">J8+K7</f>
        <v>43300</v>
      </c>
      <c r="L8" s="15" t="n">
        <f aca="false">K8+L7</f>
        <v>58300</v>
      </c>
      <c r="M8" s="15" t="n">
        <f aca="false">L8+M7</f>
        <v>78300</v>
      </c>
    </row>
    <row r="9" customFormat="false" ht="15" hidden="false" customHeight="false" outlineLevel="0" collapsed="false">
      <c r="A9" s="5" t="s">
        <v>98</v>
      </c>
      <c r="B9" s="15" t="n">
        <f aca="false">B7</f>
        <v>500</v>
      </c>
      <c r="C9" s="15" t="n">
        <f aca="false">C7+B9*0.3</f>
        <v>950</v>
      </c>
      <c r="D9" s="15" t="n">
        <f aca="false">D7+C9*0.3</f>
        <v>1485</v>
      </c>
      <c r="E9" s="15" t="n">
        <f aca="false">E7+D9*0.3</f>
        <v>2245.5</v>
      </c>
      <c r="F9" s="15" t="n">
        <f aca="false">F7+E9*0.3</f>
        <v>3173.65</v>
      </c>
      <c r="G9" s="15" t="n">
        <f aca="false">G7+F9*0.3</f>
        <v>4452.095</v>
      </c>
      <c r="H9" s="15" t="n">
        <f aca="false">H7+G9*0.3</f>
        <v>6335.6285</v>
      </c>
      <c r="I9" s="15" t="n">
        <f aca="false">I7+H9*0.3</f>
        <v>8900.68855</v>
      </c>
      <c r="J9" s="15" t="n">
        <f aca="false">J7+I9*0.3</f>
        <v>11670.206565</v>
      </c>
      <c r="K9" s="15" t="n">
        <f aca="false">K7+J9*0.3</f>
        <v>15501.0619695</v>
      </c>
      <c r="L9" s="15" t="n">
        <f aca="false">L7+K9*0.3</f>
        <v>19650.31859085</v>
      </c>
      <c r="M9" s="15" t="n">
        <f aca="false">M7+L9*0.3</f>
        <v>25895.095577255</v>
      </c>
    </row>
    <row r="10" customFormat="false" ht="15" hidden="false" customHeight="false" outlineLevel="0" collapsed="false">
      <c r="A10" s="5" t="s">
        <v>99</v>
      </c>
      <c r="B10" s="15" t="n">
        <f aca="false">B9*0.4</f>
        <v>200</v>
      </c>
      <c r="C10" s="15" t="n">
        <f aca="false">C9*0.4</f>
        <v>380</v>
      </c>
      <c r="D10" s="15" t="n">
        <f aca="false">D9*0.4</f>
        <v>594</v>
      </c>
      <c r="E10" s="15" t="n">
        <f aca="false">E9*0.4</f>
        <v>898.2</v>
      </c>
      <c r="F10" s="15" t="n">
        <f aca="false">F9*0.4</f>
        <v>1269.46</v>
      </c>
      <c r="G10" s="15" t="n">
        <f aca="false">G9*0.4</f>
        <v>1780.838</v>
      </c>
      <c r="H10" s="15" t="n">
        <f aca="false">H9*0.4</f>
        <v>2534.2514</v>
      </c>
      <c r="I10" s="15" t="n">
        <f aca="false">I9*0.4</f>
        <v>3560.27542</v>
      </c>
      <c r="J10" s="15" t="n">
        <f aca="false">J9*0.4</f>
        <v>4668.082626</v>
      </c>
      <c r="K10" s="15" t="n">
        <f aca="false">K9*0.4</f>
        <v>6200.4247878</v>
      </c>
      <c r="L10" s="15" t="n">
        <f aca="false">L9*0.4</f>
        <v>7860.12743634</v>
      </c>
      <c r="M10" s="15" t="n">
        <f aca="false">M9*0.4</f>
        <v>10358.038230902</v>
      </c>
    </row>
    <row r="12" customFormat="false" ht="15" hidden="false" customHeight="false" outlineLevel="0" collapsed="false">
      <c r="A12" s="3" t="s">
        <v>100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5" t="s">
        <v>101</v>
      </c>
      <c r="B13" s="15" t="n">
        <f aca="false">B9*0.05</f>
        <v>25</v>
      </c>
      <c r="C13" s="15" t="n">
        <f aca="false">C9*0.05</f>
        <v>47.5</v>
      </c>
      <c r="D13" s="15" t="n">
        <f aca="false">D9*0.05</f>
        <v>74.25</v>
      </c>
      <c r="E13" s="15" t="n">
        <f aca="false">E9*0.05</f>
        <v>112.275</v>
      </c>
      <c r="F13" s="15" t="n">
        <f aca="false">F9*0.05</f>
        <v>158.6825</v>
      </c>
      <c r="G13" s="15" t="n">
        <f aca="false">G9*0.05</f>
        <v>222.60475</v>
      </c>
      <c r="H13" s="15" t="n">
        <f aca="false">H9*0.05</f>
        <v>316.781425</v>
      </c>
      <c r="I13" s="15" t="n">
        <f aca="false">I9*0.05</f>
        <v>445.0344275</v>
      </c>
      <c r="J13" s="15" t="n">
        <f aca="false">J9*0.05</f>
        <v>583.51032825</v>
      </c>
      <c r="K13" s="15" t="n">
        <f aca="false">K9*0.05</f>
        <v>775.053098475</v>
      </c>
      <c r="L13" s="15" t="n">
        <f aca="false">L9*0.05</f>
        <v>982.5159295425</v>
      </c>
      <c r="M13" s="15" t="n">
        <f aca="false">M9*0.05</f>
        <v>1294.75477886275</v>
      </c>
    </row>
    <row r="14" customFormat="false" ht="15" hidden="false" customHeight="false" outlineLevel="0" collapsed="false">
      <c r="A14" s="5" t="s">
        <v>102</v>
      </c>
      <c r="B14" s="15" t="n">
        <f aca="false">B13*0.55</f>
        <v>13.75</v>
      </c>
      <c r="C14" s="15" t="n">
        <f aca="false">C13*0.55</f>
        <v>26.125</v>
      </c>
      <c r="D14" s="15" t="n">
        <f aca="false">D13*0.55</f>
        <v>40.8375</v>
      </c>
      <c r="E14" s="15" t="n">
        <f aca="false">E13*0.55</f>
        <v>61.75125</v>
      </c>
      <c r="F14" s="15" t="n">
        <f aca="false">F13*0.55</f>
        <v>87.275375</v>
      </c>
      <c r="G14" s="15" t="n">
        <f aca="false">G13*0.55</f>
        <v>122.4326125</v>
      </c>
      <c r="H14" s="15" t="n">
        <f aca="false">H13*0.55</f>
        <v>174.22978375</v>
      </c>
      <c r="I14" s="15" t="n">
        <f aca="false">I13*0.55</f>
        <v>244.768935125</v>
      </c>
      <c r="J14" s="15" t="n">
        <f aca="false">J13*0.55</f>
        <v>320.9306805375</v>
      </c>
      <c r="K14" s="15" t="n">
        <f aca="false">K13*0.55</f>
        <v>426.27920416125</v>
      </c>
      <c r="L14" s="15" t="n">
        <f aca="false">L13*0.55</f>
        <v>540.383761248375</v>
      </c>
      <c r="M14" s="15" t="n">
        <f aca="false">M13*0.55</f>
        <v>712.115128374513</v>
      </c>
    </row>
    <row r="15" customFormat="false" ht="15" hidden="false" customHeight="false" outlineLevel="0" collapsed="false">
      <c r="A15" s="5" t="s">
        <v>103</v>
      </c>
      <c r="B15" s="10" t="n">
        <f aca="false">B14*110</f>
        <v>1512.5</v>
      </c>
      <c r="C15" s="10" t="n">
        <f aca="false">C14*110</f>
        <v>2873.75</v>
      </c>
      <c r="D15" s="10" t="n">
        <f aca="false">D14*110</f>
        <v>4492.125</v>
      </c>
      <c r="E15" s="10" t="n">
        <f aca="false">E14*110</f>
        <v>6792.6375</v>
      </c>
      <c r="F15" s="10" t="n">
        <f aca="false">F14*110</f>
        <v>9600.29125</v>
      </c>
      <c r="G15" s="10" t="n">
        <f aca="false">G14*110</f>
        <v>13467.587375</v>
      </c>
      <c r="H15" s="10" t="n">
        <f aca="false">H14*110</f>
        <v>19165.2762125</v>
      </c>
      <c r="I15" s="10" t="n">
        <f aca="false">I14*110</f>
        <v>26924.58286375</v>
      </c>
      <c r="J15" s="10" t="n">
        <f aca="false">J14*110</f>
        <v>35302.374859125</v>
      </c>
      <c r="K15" s="10" t="n">
        <f aca="false">K14*110</f>
        <v>46890.7124577375</v>
      </c>
      <c r="L15" s="10" t="n">
        <f aca="false">L14*110</f>
        <v>59442.2137373213</v>
      </c>
      <c r="M15" s="10" t="n">
        <f aca="false">M14*110</f>
        <v>78332.6641211964</v>
      </c>
    </row>
    <row r="17" customFormat="false" ht="15" hidden="false" customHeight="false" outlineLevel="0" collapsed="false">
      <c r="A17" s="3" t="s">
        <v>104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5" t="s">
        <v>105</v>
      </c>
      <c r="B18" s="15" t="n">
        <f aca="false">B9*0.03</f>
        <v>15</v>
      </c>
      <c r="C18" s="15" t="n">
        <f aca="false">C9*0.03</f>
        <v>28.5</v>
      </c>
      <c r="D18" s="15" t="n">
        <f aca="false">D9*0.03</f>
        <v>44.55</v>
      </c>
      <c r="E18" s="15" t="n">
        <f aca="false">E9*0.03</f>
        <v>67.365</v>
      </c>
      <c r="F18" s="15" t="n">
        <f aca="false">F9*0.03</f>
        <v>95.2095</v>
      </c>
      <c r="G18" s="15" t="n">
        <f aca="false">G9*0.03</f>
        <v>133.56285</v>
      </c>
      <c r="H18" s="15" t="n">
        <f aca="false">H9*0.03</f>
        <v>190.068855</v>
      </c>
      <c r="I18" s="15" t="n">
        <f aca="false">I9*0.03</f>
        <v>267.0206565</v>
      </c>
      <c r="J18" s="15" t="n">
        <f aca="false">J9*0.03</f>
        <v>350.10619695</v>
      </c>
      <c r="K18" s="15" t="n">
        <f aca="false">K9*0.03</f>
        <v>465.031859085</v>
      </c>
      <c r="L18" s="15" t="n">
        <f aca="false">L9*0.03</f>
        <v>589.5095577255</v>
      </c>
      <c r="M18" s="15" t="n">
        <f aca="false">M9*0.03</f>
        <v>776.85286731765</v>
      </c>
    </row>
    <row r="19" customFormat="false" ht="15" hidden="false" customHeight="false" outlineLevel="0" collapsed="false">
      <c r="A19" s="5" t="s">
        <v>106</v>
      </c>
      <c r="B19" s="15" t="n">
        <f aca="false">B18</f>
        <v>15</v>
      </c>
      <c r="C19" s="15" t="n">
        <f aca="false">B19*(1-0.05)+C18</f>
        <v>42.75</v>
      </c>
      <c r="D19" s="15" t="n">
        <f aca="false">C19*(1-0.05)+D18</f>
        <v>85.1625</v>
      </c>
      <c r="E19" s="15" t="n">
        <f aca="false">D19*(1-0.05)+E18</f>
        <v>148.269375</v>
      </c>
      <c r="F19" s="15" t="n">
        <f aca="false">E19*(1-0.05)+F18</f>
        <v>236.06540625</v>
      </c>
      <c r="G19" s="15" t="n">
        <f aca="false">F19*(1-0.05)+G18</f>
        <v>357.8249859375</v>
      </c>
      <c r="H19" s="15" t="n">
        <f aca="false">G19*(1-0.05)+H18</f>
        <v>530.002591640625</v>
      </c>
      <c r="I19" s="15" t="n">
        <f aca="false">H19*(1-0.05)+I18</f>
        <v>770.523118558594</v>
      </c>
      <c r="J19" s="15" t="n">
        <f aca="false">I19*(1-0.05)+J18</f>
        <v>1082.10315958066</v>
      </c>
      <c r="K19" s="15" t="n">
        <f aca="false">J19*(1-0.05)+K18</f>
        <v>1493.02986068663</v>
      </c>
      <c r="L19" s="15" t="n">
        <f aca="false">K19*(1-0.05)+L18</f>
        <v>2007.8879253778</v>
      </c>
      <c r="M19" s="15" t="n">
        <f aca="false">L19*(1-0.05)+M18</f>
        <v>2684.34639642656</v>
      </c>
    </row>
    <row r="20" customFormat="false" ht="15" hidden="false" customHeight="false" outlineLevel="0" collapsed="false">
      <c r="A20" s="5" t="s">
        <v>107</v>
      </c>
      <c r="B20" s="10" t="n">
        <f aca="false">B19*5.5</f>
        <v>82.5</v>
      </c>
      <c r="C20" s="10" t="n">
        <f aca="false">C19*5.5</f>
        <v>235.125</v>
      </c>
      <c r="D20" s="10" t="n">
        <f aca="false">D19*5.5</f>
        <v>468.39375</v>
      </c>
      <c r="E20" s="10" t="n">
        <f aca="false">E19*5.5</f>
        <v>815.4815625</v>
      </c>
      <c r="F20" s="10" t="n">
        <f aca="false">F19*5.5</f>
        <v>1298.359734375</v>
      </c>
      <c r="G20" s="10" t="n">
        <f aca="false">G19*5.5</f>
        <v>1968.03742265625</v>
      </c>
      <c r="H20" s="10" t="n">
        <f aca="false">H19*5.5</f>
        <v>2915.01425402344</v>
      </c>
      <c r="I20" s="10" t="n">
        <f aca="false">I19*5.5</f>
        <v>4237.87715207227</v>
      </c>
      <c r="J20" s="10" t="n">
        <f aca="false">J19*5.5</f>
        <v>5951.56737769365</v>
      </c>
      <c r="K20" s="10" t="n">
        <f aca="false">K19*5.5</f>
        <v>8211.66423377647</v>
      </c>
      <c r="L20" s="10" t="n">
        <f aca="false">L19*5.5</f>
        <v>11043.3835895779</v>
      </c>
      <c r="M20" s="10" t="n">
        <f aca="false">M19*5.5</f>
        <v>14763.9051803461</v>
      </c>
    </row>
    <row r="22" customFormat="false" ht="15" hidden="false" customHeight="false" outlineLevel="0" collapsed="false">
      <c r="A22" s="3" t="s">
        <v>108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6" t="s">
        <v>109</v>
      </c>
      <c r="B23" s="17" t="n">
        <f aca="false">B15+B20</f>
        <v>1595</v>
      </c>
      <c r="C23" s="17" t="n">
        <f aca="false">C15+C20</f>
        <v>3108.875</v>
      </c>
      <c r="D23" s="17" t="n">
        <f aca="false">D15+D20</f>
        <v>4960.51875</v>
      </c>
      <c r="E23" s="17" t="n">
        <f aca="false">E15+E20</f>
        <v>7608.1190625</v>
      </c>
      <c r="F23" s="17" t="n">
        <f aca="false">F15+F20</f>
        <v>10898.650984375</v>
      </c>
      <c r="G23" s="17" t="n">
        <f aca="false">G15+G20</f>
        <v>15435.6247976563</v>
      </c>
      <c r="H23" s="17" t="n">
        <f aca="false">H15+H20</f>
        <v>22080.2904665234</v>
      </c>
      <c r="I23" s="17" t="n">
        <f aca="false">I15+I20</f>
        <v>31162.4600158223</v>
      </c>
      <c r="J23" s="17" t="n">
        <f aca="false">J15+J20</f>
        <v>41253.9422368187</v>
      </c>
      <c r="K23" s="17" t="n">
        <f aca="false">K15+K20</f>
        <v>55102.376691514</v>
      </c>
      <c r="L23" s="17" t="n">
        <f aca="false">L15+L20</f>
        <v>70485.5973268992</v>
      </c>
      <c r="M23" s="17" t="n">
        <f aca="false">M15+M20</f>
        <v>93096.5693015425</v>
      </c>
    </row>
    <row r="24" customFormat="false" ht="15" hidden="false" customHeight="false" outlineLevel="0" collapsed="false">
      <c r="A24" s="5" t="s">
        <v>110</v>
      </c>
      <c r="B24" s="10" t="n">
        <f aca="false">B23</f>
        <v>1595</v>
      </c>
      <c r="C24" s="10" t="n">
        <f aca="false">B24+C23</f>
        <v>4703.875</v>
      </c>
      <c r="D24" s="10" t="n">
        <f aca="false">C24+D23</f>
        <v>9664.39375</v>
      </c>
      <c r="E24" s="10" t="n">
        <f aca="false">D24+E23</f>
        <v>17272.5128125</v>
      </c>
      <c r="F24" s="10" t="n">
        <f aca="false">E24+F23</f>
        <v>28171.163796875</v>
      </c>
      <c r="G24" s="10" t="n">
        <f aca="false">F24+G23</f>
        <v>43606.7885945313</v>
      </c>
      <c r="H24" s="10" t="n">
        <f aca="false">G24+H23</f>
        <v>65687.0790610547</v>
      </c>
      <c r="I24" s="10" t="n">
        <f aca="false">H24+I23</f>
        <v>96849.539076877</v>
      </c>
      <c r="J24" s="10" t="n">
        <f aca="false">I24+J23</f>
        <v>138103.481313696</v>
      </c>
      <c r="K24" s="10" t="n">
        <f aca="false">J24+K23</f>
        <v>193205.85800521</v>
      </c>
      <c r="L24" s="10" t="n">
        <f aca="false">K24+L23</f>
        <v>263691.455332109</v>
      </c>
      <c r="M24" s="10" t="n">
        <f aca="false">L24+M23</f>
        <v>356788.024633651</v>
      </c>
    </row>
    <row r="26" customFormat="false" ht="15" hidden="false" customHeight="false" outlineLevel="0" collapsed="false">
      <c r="A26" s="3" t="s">
        <v>111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5" t="s">
        <v>112</v>
      </c>
      <c r="B27" s="18" t="n">
        <v>200</v>
      </c>
      <c r="C27" s="18" t="n">
        <v>200</v>
      </c>
      <c r="D27" s="18" t="n">
        <v>200</v>
      </c>
      <c r="E27" s="18" t="n">
        <v>300</v>
      </c>
      <c r="F27" s="18" t="n">
        <v>300</v>
      </c>
      <c r="G27" s="18" t="n">
        <v>400</v>
      </c>
      <c r="H27" s="18" t="n">
        <v>500</v>
      </c>
      <c r="I27" s="18" t="n">
        <v>600</v>
      </c>
      <c r="J27" s="18" t="n">
        <v>700</v>
      </c>
      <c r="K27" s="18" t="n">
        <v>800</v>
      </c>
      <c r="L27" s="18" t="n">
        <v>900</v>
      </c>
      <c r="M27" s="18" t="n">
        <v>1000</v>
      </c>
    </row>
    <row r="28" customFormat="false" ht="15" hidden="false" customHeight="false" outlineLevel="0" collapsed="false">
      <c r="A28" s="5" t="s">
        <v>113</v>
      </c>
      <c r="B28" s="18" t="n">
        <v>1000</v>
      </c>
      <c r="C28" s="18" t="n">
        <v>1500</v>
      </c>
      <c r="D28" s="18" t="n">
        <v>2000</v>
      </c>
      <c r="E28" s="18" t="n">
        <v>2500</v>
      </c>
      <c r="F28" s="18" t="n">
        <v>3000</v>
      </c>
      <c r="G28" s="18" t="n">
        <v>3500</v>
      </c>
      <c r="H28" s="18" t="n">
        <v>4000</v>
      </c>
      <c r="I28" s="18" t="n">
        <v>5000</v>
      </c>
      <c r="J28" s="18" t="n">
        <v>5000</v>
      </c>
      <c r="K28" s="18" t="n">
        <v>6000</v>
      </c>
      <c r="L28" s="18" t="n">
        <v>7000</v>
      </c>
      <c r="M28" s="18" t="n">
        <v>8000</v>
      </c>
    </row>
    <row r="29" customFormat="false" ht="15" hidden="false" customHeight="false" outlineLevel="0" collapsed="false">
      <c r="A29" s="5" t="s">
        <v>114</v>
      </c>
      <c r="B29" s="18" t="n">
        <v>200</v>
      </c>
      <c r="C29" s="18" t="n">
        <v>200</v>
      </c>
      <c r="D29" s="18" t="n">
        <v>200</v>
      </c>
      <c r="E29" s="18" t="n">
        <v>200</v>
      </c>
      <c r="F29" s="18" t="n">
        <v>200</v>
      </c>
      <c r="G29" s="18" t="n">
        <v>200</v>
      </c>
      <c r="H29" s="18" t="n">
        <v>200</v>
      </c>
      <c r="I29" s="18" t="n">
        <v>200</v>
      </c>
      <c r="J29" s="18" t="n">
        <v>200</v>
      </c>
      <c r="K29" s="18" t="n">
        <v>200</v>
      </c>
      <c r="L29" s="18" t="n">
        <v>200</v>
      </c>
      <c r="M29" s="18" t="n">
        <v>200</v>
      </c>
    </row>
    <row r="30" customFormat="false" ht="15" hidden="false" customHeight="false" outlineLevel="0" collapsed="false">
      <c r="A30" s="5" t="s">
        <v>115</v>
      </c>
      <c r="B30" s="18" t="n">
        <v>3000</v>
      </c>
      <c r="C30" s="18" t="n">
        <v>500</v>
      </c>
      <c r="D30" s="18" t="n">
        <v>500</v>
      </c>
      <c r="E30" s="18" t="n">
        <v>500</v>
      </c>
      <c r="F30" s="18" t="n">
        <v>500</v>
      </c>
      <c r="G30" s="18" t="n">
        <v>500</v>
      </c>
      <c r="H30" s="18" t="n">
        <v>500</v>
      </c>
      <c r="I30" s="18" t="n">
        <v>500</v>
      </c>
      <c r="J30" s="18" t="n">
        <v>500</v>
      </c>
      <c r="K30" s="18" t="n">
        <v>500</v>
      </c>
      <c r="L30" s="18" t="n">
        <v>500</v>
      </c>
      <c r="M30" s="18" t="n">
        <v>500</v>
      </c>
    </row>
    <row r="31" customFormat="false" ht="15" hidden="false" customHeight="false" outlineLevel="0" collapsed="false">
      <c r="A31" s="5" t="s">
        <v>116</v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</row>
    <row r="32" customFormat="false" ht="15" hidden="false" customHeight="false" outlineLevel="0" collapsed="false">
      <c r="A32" s="5" t="s">
        <v>117</v>
      </c>
      <c r="B32" s="17" t="n">
        <f aca="false">B27+B28+B29+B30+B31</f>
        <v>4400</v>
      </c>
      <c r="C32" s="17" t="n">
        <f aca="false">C27+C28+C29+C30+C31</f>
        <v>2400</v>
      </c>
      <c r="D32" s="17" t="n">
        <f aca="false">D27+D28+D29+D30+D31</f>
        <v>2900</v>
      </c>
      <c r="E32" s="17" t="n">
        <f aca="false">E27+E28+E29+E30+E31</f>
        <v>3500</v>
      </c>
      <c r="F32" s="17" t="n">
        <f aca="false">F27+F28+F29+F30+F31</f>
        <v>4000</v>
      </c>
      <c r="G32" s="17" t="n">
        <f aca="false">G27+G28+G29+G30+G31</f>
        <v>4600</v>
      </c>
      <c r="H32" s="17" t="n">
        <f aca="false">H27+H28+H29+H30+H31</f>
        <v>5200</v>
      </c>
      <c r="I32" s="17" t="n">
        <f aca="false">I27+I28+I29+I30+I31</f>
        <v>6300</v>
      </c>
      <c r="J32" s="17" t="n">
        <f aca="false">J27+J28+J29+J30+J31</f>
        <v>6400</v>
      </c>
      <c r="K32" s="17" t="n">
        <f aca="false">K27+K28+K29+K30+K31</f>
        <v>7500</v>
      </c>
      <c r="L32" s="17" t="n">
        <f aca="false">L27+L28+L29+L30+L31</f>
        <v>8600</v>
      </c>
      <c r="M32" s="17" t="n">
        <f aca="false">M27+M28+M29+M30+M31</f>
        <v>9700</v>
      </c>
    </row>
    <row r="34" customFormat="false" ht="15" hidden="false" customHeight="false" outlineLevel="0" collapsed="false">
      <c r="A34" s="3" t="s">
        <v>118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6" t="s">
        <v>119</v>
      </c>
      <c r="B35" s="19" t="n">
        <f aca="false">B23-B32</f>
        <v>-2805</v>
      </c>
      <c r="C35" s="19" t="n">
        <f aca="false">C23-C32</f>
        <v>708.875000000001</v>
      </c>
      <c r="D35" s="19" t="n">
        <f aca="false">D23-D32</f>
        <v>2060.51875</v>
      </c>
      <c r="E35" s="19" t="n">
        <f aca="false">E23-E32</f>
        <v>4108.1190625</v>
      </c>
      <c r="F35" s="19" t="n">
        <f aca="false">F23-F32</f>
        <v>6898.650984375</v>
      </c>
      <c r="G35" s="19" t="n">
        <f aca="false">G23-G32</f>
        <v>10835.6247976563</v>
      </c>
      <c r="H35" s="19" t="n">
        <f aca="false">H23-H32</f>
        <v>16880.2904665234</v>
      </c>
      <c r="I35" s="19" t="n">
        <f aca="false">I23-I32</f>
        <v>24862.4600158223</v>
      </c>
      <c r="J35" s="19" t="n">
        <f aca="false">J23-J32</f>
        <v>34853.9422368187</v>
      </c>
      <c r="K35" s="19" t="n">
        <f aca="false">K23-K32</f>
        <v>47602.376691514</v>
      </c>
      <c r="L35" s="19" t="n">
        <f aca="false">L23-L32</f>
        <v>61885.5973268992</v>
      </c>
      <c r="M35" s="19" t="n">
        <f aca="false">M23-M32</f>
        <v>83396.5693015425</v>
      </c>
    </row>
    <row r="36" customFormat="false" ht="15" hidden="false" customHeight="false" outlineLevel="0" collapsed="false">
      <c r="A36" s="5" t="s">
        <v>120</v>
      </c>
      <c r="B36" s="20" t="n">
        <f aca="false">B35</f>
        <v>-2805</v>
      </c>
      <c r="C36" s="20" t="n">
        <f aca="false">B36+C35</f>
        <v>-2096.125</v>
      </c>
      <c r="D36" s="20" t="n">
        <f aca="false">C36+D35</f>
        <v>-35.6062499999985</v>
      </c>
      <c r="E36" s="20" t="n">
        <f aca="false">D36+E35</f>
        <v>4072.5128125</v>
      </c>
      <c r="F36" s="20" t="n">
        <f aca="false">E36+F35</f>
        <v>10971.163796875</v>
      </c>
      <c r="G36" s="20" t="n">
        <f aca="false">F36+G35</f>
        <v>21806.7885945313</v>
      </c>
      <c r="H36" s="20" t="n">
        <f aca="false">G36+H35</f>
        <v>38687.0790610547</v>
      </c>
      <c r="I36" s="20" t="n">
        <f aca="false">H36+I35</f>
        <v>63549.539076877</v>
      </c>
      <c r="J36" s="20" t="n">
        <f aca="false">I36+J35</f>
        <v>98403.4813136956</v>
      </c>
      <c r="K36" s="20" t="n">
        <f aca="false">J36+K35</f>
        <v>146005.85800521</v>
      </c>
      <c r="L36" s="20" t="n">
        <f aca="false">K36+L35</f>
        <v>207891.455332109</v>
      </c>
      <c r="M36" s="20" t="n">
        <f aca="false">L36+M35</f>
        <v>291288.024633651</v>
      </c>
    </row>
    <row r="37" customFormat="false" ht="15" hidden="false" customHeight="false" outlineLevel="0" collapsed="false">
      <c r="A37" s="5" t="s">
        <v>121</v>
      </c>
      <c r="B37" s="21" t="n">
        <f aca="false">IFERROR(B35/B23,0)</f>
        <v>-1.75862068965517</v>
      </c>
      <c r="C37" s="21" t="n">
        <f aca="false">IFERROR(C35/C23,0)</f>
        <v>0.228016565477866</v>
      </c>
      <c r="D37" s="21" t="n">
        <f aca="false">IFERROR(D35/D23,0)</f>
        <v>0.415383723728491</v>
      </c>
      <c r="E37" s="21" t="n">
        <f aca="false">IFERROR(E35/E23,0)</f>
        <v>0.539965138393889</v>
      </c>
      <c r="F37" s="21" t="n">
        <f aca="false">IFERROR(F35/F23,0)</f>
        <v>0.632982099735586</v>
      </c>
      <c r="G37" s="21" t="n">
        <f aca="false">IFERROR(G35/G23,0)</f>
        <v>0.701988091813526</v>
      </c>
      <c r="H37" s="21" t="n">
        <f aca="false">IFERROR(H35/H23,0)</f>
        <v>0.764495851724239</v>
      </c>
      <c r="I37" s="21" t="n">
        <f aca="false">IFERROR(I35/I23,0)</f>
        <v>0.797833675621204</v>
      </c>
      <c r="J37" s="21" t="n">
        <f aca="false">IFERROR(J35/J23,0)</f>
        <v>0.844863311165252</v>
      </c>
      <c r="K37" s="21" t="n">
        <f aca="false">IFERROR(K35/K23,0)</f>
        <v>0.863889718550833</v>
      </c>
      <c r="L37" s="21" t="n">
        <f aca="false">IFERROR(L35/L23,0)</f>
        <v>0.877989258428005</v>
      </c>
      <c r="M37" s="21" t="n">
        <f aca="false">IFERROR(M35/M23,0)</f>
        <v>0.895807116494471</v>
      </c>
    </row>
    <row r="39" customFormat="false" ht="15" hidden="false" customHeight="false" outlineLevel="0" collapsed="false">
      <c r="A39" s="3" t="s">
        <v>122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5" t="s">
        <v>123</v>
      </c>
      <c r="B40" s="22" t="n">
        <f aca="false">IFERROR(B23/B9,0)</f>
        <v>3.19</v>
      </c>
      <c r="C40" s="22" t="n">
        <f aca="false">IFERROR(C23/C9,0)</f>
        <v>3.2725</v>
      </c>
      <c r="D40" s="22" t="n">
        <f aca="false">IFERROR(D23/D9,0)</f>
        <v>3.34041666666667</v>
      </c>
      <c r="E40" s="22" t="n">
        <f aca="false">IFERROR(E23/E9,0)</f>
        <v>3.3881625751503</v>
      </c>
      <c r="F40" s="22" t="n">
        <f aca="false">IFERROR(F23/F9,0)</f>
        <v>3.4341061504498</v>
      </c>
      <c r="G40" s="22" t="n">
        <f aca="false">IFERROR(G23/G9,0)</f>
        <v>3.46704749059853</v>
      </c>
      <c r="H40" s="22" t="n">
        <f aca="false">IFERROR(H23/H9,0)</f>
        <v>3.48509867119315</v>
      </c>
      <c r="I40" s="22" t="n">
        <f aca="false">IFERROR(I23/I9,0)</f>
        <v>3.50112913633207</v>
      </c>
      <c r="J40" s="22" t="n">
        <f aca="false">IFERROR(J23/J9,0)</f>
        <v>3.53497960871943</v>
      </c>
      <c r="K40" s="22" t="n">
        <f aca="false">IFERROR(K23/K9,0)</f>
        <v>3.55474849400214</v>
      </c>
      <c r="L40" s="22" t="n">
        <f aca="false">IFERROR(L23/L9,0)</f>
        <v>3.58699514214086</v>
      </c>
      <c r="M40" s="22" t="n">
        <f aca="false">IFERROR(M23/M9,0)</f>
        <v>3.59514291128217</v>
      </c>
    </row>
    <row r="41" customFormat="false" ht="15" hidden="false" customHeight="false" outlineLevel="0" collapsed="false">
      <c r="A41" s="5" t="s">
        <v>124</v>
      </c>
      <c r="B41" s="22" t="n">
        <f aca="false">IFERROR(B28/B7,0)</f>
        <v>2</v>
      </c>
      <c r="C41" s="22" t="n">
        <f aca="false">IFERROR(C28/C7,0)</f>
        <v>1.875</v>
      </c>
      <c r="D41" s="22" t="n">
        <f aca="false">IFERROR(D28/D7,0)</f>
        <v>1.66666666666667</v>
      </c>
      <c r="E41" s="22" t="n">
        <f aca="false">IFERROR(E28/E7,0)</f>
        <v>1.38888888888889</v>
      </c>
      <c r="F41" s="22" t="n">
        <f aca="false">IFERROR(F28/F7,0)</f>
        <v>1.2</v>
      </c>
      <c r="G41" s="22" t="n">
        <f aca="false">IFERROR(G28/G7,0)</f>
        <v>1</v>
      </c>
      <c r="H41" s="22" t="n">
        <f aca="false">IFERROR(H28/H7,0)</f>
        <v>0.8</v>
      </c>
      <c r="I41" s="22" t="n">
        <f aca="false">IFERROR(I28/I7,0)</f>
        <v>0.714285714285714</v>
      </c>
      <c r="J41" s="22" t="n">
        <f aca="false">IFERROR(J28/J7,0)</f>
        <v>0.555555555555556</v>
      </c>
      <c r="K41" s="22" t="n">
        <f aca="false">IFERROR(K28/K7,0)</f>
        <v>0.5</v>
      </c>
      <c r="L41" s="22" t="n">
        <f aca="false">IFERROR(L28/L7,0)</f>
        <v>0.466666666666667</v>
      </c>
      <c r="M41" s="22" t="n">
        <f aca="false">IFERROR(M28/M7,0)</f>
        <v>0.4</v>
      </c>
    </row>
    <row r="42" customFormat="false" ht="15" hidden="false" customHeight="false" outlineLevel="0" collapsed="false">
      <c r="A42" s="5" t="s">
        <v>125</v>
      </c>
      <c r="B42" s="18" t="n">
        <v>110</v>
      </c>
      <c r="C42" s="18" t="n">
        <v>110</v>
      </c>
      <c r="D42" s="18" t="n">
        <v>110</v>
      </c>
      <c r="E42" s="18" t="n">
        <v>110</v>
      </c>
      <c r="F42" s="18" t="n">
        <v>110</v>
      </c>
      <c r="G42" s="18" t="n">
        <v>110</v>
      </c>
      <c r="H42" s="18" t="n">
        <v>110</v>
      </c>
      <c r="I42" s="18" t="n">
        <v>110</v>
      </c>
      <c r="J42" s="18" t="n">
        <v>110</v>
      </c>
      <c r="K42" s="18" t="n">
        <v>110</v>
      </c>
      <c r="L42" s="18" t="n">
        <v>110</v>
      </c>
      <c r="M42" s="18" t="n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11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12" t="s">
        <v>127</v>
      </c>
    </row>
    <row r="4" customFormat="false" ht="15" hidden="false" customHeight="false" outlineLevel="0" collapsed="false">
      <c r="A4" s="14" t="s">
        <v>82</v>
      </c>
      <c r="B4" s="14" t="s">
        <v>128</v>
      </c>
      <c r="C4" s="14" t="s">
        <v>129</v>
      </c>
      <c r="D4" s="14" t="s">
        <v>130</v>
      </c>
      <c r="E4" s="14" t="s">
        <v>131</v>
      </c>
    </row>
    <row r="6" customFormat="false" ht="15" hidden="false" customHeight="false" outlineLevel="0" collapsed="false">
      <c r="A6" s="3" t="s">
        <v>132</v>
      </c>
      <c r="B6" s="4"/>
      <c r="C6" s="4"/>
      <c r="D6" s="4"/>
      <c r="E6" s="4"/>
    </row>
    <row r="7" customFormat="false" ht="15" hidden="false" customHeight="false" outlineLevel="0" collapsed="false">
      <c r="A7" s="5" t="s">
        <v>133</v>
      </c>
      <c r="B7" s="8" t="n">
        <v>250000</v>
      </c>
      <c r="C7" s="8" t="n">
        <v>0</v>
      </c>
      <c r="D7" s="8" t="n">
        <v>0</v>
      </c>
      <c r="E7" s="8" t="n">
        <v>0</v>
      </c>
    </row>
    <row r="8" customFormat="false" ht="15" hidden="false" customHeight="false" outlineLevel="0" collapsed="false">
      <c r="A8" s="5" t="s">
        <v>134</v>
      </c>
      <c r="B8" s="8" t="n">
        <v>0</v>
      </c>
      <c r="C8" s="8" t="n">
        <v>1500000</v>
      </c>
      <c r="D8" s="8" t="n">
        <v>0</v>
      </c>
      <c r="E8" s="8" t="n">
        <v>0</v>
      </c>
    </row>
    <row r="9" customFormat="false" ht="15" hidden="false" customHeight="false" outlineLevel="0" collapsed="false">
      <c r="A9" s="5" t="s">
        <v>135</v>
      </c>
      <c r="B9" s="8" t="n">
        <v>0</v>
      </c>
      <c r="C9" s="8" t="n">
        <v>0</v>
      </c>
      <c r="D9" s="8" t="n">
        <v>5000000</v>
      </c>
      <c r="E9" s="8" t="n">
        <v>0</v>
      </c>
    </row>
    <row r="10" customFormat="false" ht="15" hidden="false" customHeight="false" outlineLevel="0" collapsed="false">
      <c r="A10" s="5" t="s">
        <v>136</v>
      </c>
      <c r="B10" s="23" t="n">
        <f aca="false">B7+B8+B9</f>
        <v>250000</v>
      </c>
      <c r="C10" s="23" t="n">
        <f aca="false">B10+C7+C8+C9</f>
        <v>1750000</v>
      </c>
      <c r="D10" s="23" t="n">
        <f aca="false">C10+D7+D8+D9</f>
        <v>6750000</v>
      </c>
      <c r="E10" s="23" t="n">
        <f aca="false">D10+E7+E8+E9</f>
        <v>6750000</v>
      </c>
    </row>
    <row r="11" customFormat="false" ht="15" hidden="false" customHeight="false" outlineLevel="0" collapsed="false">
      <c r="A11" s="5" t="s">
        <v>137</v>
      </c>
      <c r="B11" s="8" t="n">
        <v>1000000</v>
      </c>
      <c r="C11" s="8" t="n">
        <v>6000000</v>
      </c>
      <c r="D11" s="8" t="n">
        <v>20000000</v>
      </c>
      <c r="E11" s="8" t="n">
        <v>0</v>
      </c>
    </row>
    <row r="13" customFormat="false" ht="15" hidden="false" customHeight="false" outlineLevel="0" collapsed="false">
      <c r="A13" s="3" t="s">
        <v>95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138</v>
      </c>
      <c r="B14" s="6" t="n">
        <v>100000</v>
      </c>
      <c r="C14" s="6" t="n">
        <v>500000</v>
      </c>
      <c r="D14" s="6" t="n">
        <v>2000000</v>
      </c>
      <c r="E14" s="6" t="n">
        <v>5000000</v>
      </c>
    </row>
    <row r="15" customFormat="false" ht="15" hidden="false" customHeight="false" outlineLevel="0" collapsed="false">
      <c r="A15" s="5" t="s">
        <v>97</v>
      </c>
      <c r="B15" s="15" t="n">
        <f aca="false">B14</f>
        <v>100000</v>
      </c>
      <c r="C15" s="15" t="n">
        <f aca="false">B15+C14</f>
        <v>600000</v>
      </c>
      <c r="D15" s="15" t="n">
        <f aca="false">C15+D14</f>
        <v>2600000</v>
      </c>
      <c r="E15" s="15" t="n">
        <f aca="false">D15+E14</f>
        <v>7600000</v>
      </c>
    </row>
    <row r="16" customFormat="false" ht="15" hidden="false" customHeight="false" outlineLevel="0" collapsed="false">
      <c r="A16" s="5" t="s">
        <v>139</v>
      </c>
      <c r="B16" s="24" t="n">
        <v>25000</v>
      </c>
      <c r="C16" s="24" t="n">
        <v>175000</v>
      </c>
      <c r="D16" s="24" t="n">
        <v>800000</v>
      </c>
      <c r="E16" s="24" t="n">
        <v>2500000</v>
      </c>
    </row>
    <row r="18" customFormat="false" ht="15" hidden="false" customHeight="false" outlineLevel="0" collapsed="false">
      <c r="A18" s="3" t="s">
        <v>140</v>
      </c>
      <c r="B18" s="4"/>
      <c r="C18" s="4"/>
      <c r="D18" s="4"/>
      <c r="E18" s="4"/>
    </row>
    <row r="19" customFormat="false" ht="15" hidden="false" customHeight="false" outlineLevel="0" collapsed="false">
      <c r="A19" s="5" t="s">
        <v>103</v>
      </c>
      <c r="B19" s="10" t="n">
        <f aca="false">B16*0.05*0.55*110*12</f>
        <v>907500</v>
      </c>
      <c r="C19" s="10" t="n">
        <f aca="false">C16*0.05*0.55*110*12</f>
        <v>6352500</v>
      </c>
      <c r="D19" s="10" t="n">
        <f aca="false">D16*0.05*0.55*110*12</f>
        <v>29040000</v>
      </c>
      <c r="E19" s="10" t="n">
        <f aca="false">E16*0.05*0.55*110*12</f>
        <v>90750000</v>
      </c>
    </row>
    <row r="20" customFormat="false" ht="15" hidden="false" customHeight="false" outlineLevel="0" collapsed="false">
      <c r="A20" s="5" t="s">
        <v>107</v>
      </c>
      <c r="B20" s="10" t="n">
        <f aca="false">B16*0.03*5.5*12</f>
        <v>49500</v>
      </c>
      <c r="C20" s="10" t="n">
        <f aca="false">C16*0.03*5.5*12</f>
        <v>346500</v>
      </c>
      <c r="D20" s="10" t="n">
        <f aca="false">D16*0.03*5.5*12</f>
        <v>1584000</v>
      </c>
      <c r="E20" s="10" t="n">
        <f aca="false">E16*0.03*5.5*12</f>
        <v>4950000</v>
      </c>
    </row>
    <row r="21" customFormat="false" ht="15" hidden="false" customHeight="false" outlineLevel="0" collapsed="false">
      <c r="A21" s="16" t="s">
        <v>141</v>
      </c>
      <c r="B21" s="17" t="n">
        <f aca="false">B19+B20</f>
        <v>957000</v>
      </c>
      <c r="C21" s="17" t="n">
        <f aca="false">C19+C20</f>
        <v>6699000</v>
      </c>
      <c r="D21" s="17" t="n">
        <f aca="false">D19+D20</f>
        <v>30624000</v>
      </c>
      <c r="E21" s="17" t="n">
        <f aca="false">E19+E20</f>
        <v>95700000</v>
      </c>
    </row>
    <row r="22" customFormat="false" ht="15" hidden="false" customHeight="false" outlineLevel="0" collapsed="false">
      <c r="A22" s="5" t="s">
        <v>142</v>
      </c>
      <c r="B22" s="25" t="s">
        <v>143</v>
      </c>
      <c r="C22" s="21" t="n">
        <f aca="false">IFERROR((C21-B21)/B21,0)</f>
        <v>6</v>
      </c>
      <c r="D22" s="21" t="n">
        <f aca="false">IFERROR((D21-C21)/C21,0)</f>
        <v>3.57142857142857</v>
      </c>
      <c r="E22" s="21" t="n">
        <f aca="false">IFERROR((E21-D21)/D21,0)</f>
        <v>2.125</v>
      </c>
    </row>
    <row r="24" customFormat="false" ht="15" hidden="false" customHeight="false" outlineLevel="0" collapsed="false">
      <c r="A24" s="3" t="s">
        <v>111</v>
      </c>
      <c r="B24" s="4"/>
      <c r="C24" s="4"/>
      <c r="D24" s="4"/>
      <c r="E24" s="4"/>
    </row>
    <row r="25" customFormat="false" ht="15" hidden="false" customHeight="false" outlineLevel="0" collapsed="false">
      <c r="A25" s="5" t="s">
        <v>144</v>
      </c>
      <c r="B25" s="18" t="n">
        <v>0</v>
      </c>
      <c r="C25" s="18" t="n">
        <v>300000</v>
      </c>
      <c r="D25" s="18" t="n">
        <v>900000</v>
      </c>
      <c r="E25" s="18" t="n">
        <v>1800000</v>
      </c>
    </row>
    <row r="26" customFormat="false" ht="15" hidden="false" customHeight="false" outlineLevel="0" collapsed="false">
      <c r="A26" s="5" t="s">
        <v>113</v>
      </c>
      <c r="B26" s="18" t="n">
        <v>60000</v>
      </c>
      <c r="C26" s="18" t="n">
        <v>400000</v>
      </c>
      <c r="D26" s="18" t="n">
        <v>1500000</v>
      </c>
      <c r="E26" s="18" t="n">
        <v>3000000</v>
      </c>
    </row>
    <row r="27" customFormat="false" ht="15" hidden="false" customHeight="false" outlineLevel="0" collapsed="false">
      <c r="A27" s="5" t="s">
        <v>112</v>
      </c>
      <c r="B27" s="18" t="n">
        <v>6000</v>
      </c>
      <c r="C27" s="18" t="n">
        <v>36000</v>
      </c>
      <c r="D27" s="18" t="n">
        <v>120000</v>
      </c>
      <c r="E27" s="18" t="n">
        <v>300000</v>
      </c>
    </row>
    <row r="28" customFormat="false" ht="15" hidden="false" customHeight="false" outlineLevel="0" collapsed="false">
      <c r="A28" s="5" t="s">
        <v>145</v>
      </c>
      <c r="B28" s="18" t="n">
        <v>15000</v>
      </c>
      <c r="C28" s="18" t="n">
        <v>30000</v>
      </c>
      <c r="D28" s="18" t="n">
        <v>60000</v>
      </c>
      <c r="E28" s="18" t="n">
        <v>100000</v>
      </c>
    </row>
    <row r="29" customFormat="false" ht="15" hidden="false" customHeight="false" outlineLevel="0" collapsed="false">
      <c r="A29" s="5" t="s">
        <v>146</v>
      </c>
      <c r="B29" s="18" t="n">
        <v>0</v>
      </c>
      <c r="C29" s="18" t="n">
        <v>24000</v>
      </c>
      <c r="D29" s="18" t="n">
        <v>60000</v>
      </c>
      <c r="E29" s="18" t="n">
        <v>120000</v>
      </c>
    </row>
    <row r="30" customFormat="false" ht="15" hidden="false" customHeight="false" outlineLevel="0" collapsed="false">
      <c r="A30" s="5" t="s">
        <v>147</v>
      </c>
      <c r="B30" s="18" t="n">
        <v>5000</v>
      </c>
      <c r="C30" s="18" t="n">
        <v>20000</v>
      </c>
      <c r="D30" s="18" t="n">
        <v>50000</v>
      </c>
      <c r="E30" s="18" t="n">
        <v>80000</v>
      </c>
    </row>
    <row r="31" customFormat="false" ht="15" hidden="false" customHeight="false" outlineLevel="0" collapsed="false">
      <c r="A31" s="5" t="s">
        <v>117</v>
      </c>
      <c r="B31" s="17" t="n">
        <f aca="false">B25+B26+B27+B28+B29+B30</f>
        <v>86000</v>
      </c>
      <c r="C31" s="17" t="n">
        <f aca="false">C25+C26+C27+C28+C29+C30</f>
        <v>810000</v>
      </c>
      <c r="D31" s="17" t="n">
        <f aca="false">D25+D26+D27+D28+D29+D30</f>
        <v>2690000</v>
      </c>
      <c r="E31" s="17" t="n">
        <f aca="false">E25+E26+E27+E28+E29+E30</f>
        <v>5400000</v>
      </c>
    </row>
    <row r="33" customFormat="false" ht="15" hidden="false" customHeight="false" outlineLevel="0" collapsed="false">
      <c r="A33" s="3" t="s">
        <v>118</v>
      </c>
      <c r="B33" s="4"/>
      <c r="C33" s="4"/>
      <c r="D33" s="4"/>
      <c r="E33" s="4"/>
    </row>
    <row r="34" customFormat="false" ht="15" hidden="false" customHeight="false" outlineLevel="0" collapsed="false">
      <c r="A34" s="16" t="s">
        <v>148</v>
      </c>
      <c r="B34" s="19" t="n">
        <f aca="false">B21-B31</f>
        <v>871000</v>
      </c>
      <c r="C34" s="19" t="n">
        <f aca="false">C21-C31</f>
        <v>5889000</v>
      </c>
      <c r="D34" s="19" t="n">
        <f aca="false">D21-D31</f>
        <v>27934000</v>
      </c>
      <c r="E34" s="19" t="n">
        <f aca="false">E21-E31</f>
        <v>90300000</v>
      </c>
    </row>
    <row r="35" customFormat="false" ht="15" hidden="false" customHeight="false" outlineLevel="0" collapsed="false">
      <c r="A35" s="5" t="s">
        <v>149</v>
      </c>
      <c r="B35" s="21" t="n">
        <f aca="false">IFERROR(B34/B21,0)</f>
        <v>0.910135841170324</v>
      </c>
      <c r="C35" s="21" t="n">
        <f aca="false">IFERROR(C34/C21,0)</f>
        <v>0.879086430810569</v>
      </c>
      <c r="D35" s="21" t="n">
        <f aca="false">IFERROR(D34/D21,0)</f>
        <v>0.91216039707419</v>
      </c>
      <c r="E35" s="21" t="n">
        <f aca="false">IFERROR(E34/E21,0)</f>
        <v>0.943573667711599</v>
      </c>
    </row>
    <row r="36" customFormat="false" ht="15" hidden="false" customHeight="false" outlineLevel="0" collapsed="false">
      <c r="A36" s="5" t="s">
        <v>150</v>
      </c>
      <c r="B36" s="20" t="n">
        <f aca="false">B34+B7+B8+B9</f>
        <v>1121000</v>
      </c>
      <c r="C36" s="20" t="n">
        <f aca="false">C34+C7+C8+C9</f>
        <v>7389000</v>
      </c>
      <c r="D36" s="20" t="n">
        <f aca="false">D34+D7+D8+D9</f>
        <v>32934000</v>
      </c>
      <c r="E36" s="20" t="n">
        <f aca="false">E34+E7+E8+E9</f>
        <v>90300000</v>
      </c>
    </row>
    <row r="37" customFormat="false" ht="15" hidden="false" customHeight="false" outlineLevel="0" collapsed="false">
      <c r="A37" s="5" t="s">
        <v>151</v>
      </c>
      <c r="B37" s="20" t="n">
        <f aca="false">B36</f>
        <v>1121000</v>
      </c>
      <c r="C37" s="20" t="n">
        <f aca="false">B37+C36</f>
        <v>8510000</v>
      </c>
      <c r="D37" s="20" t="n">
        <f aca="false">C37+D36</f>
        <v>41444000</v>
      </c>
      <c r="E37" s="20" t="n">
        <f aca="false">D37+E36</f>
        <v>131744000</v>
      </c>
    </row>
    <row r="39" customFormat="false" ht="15" hidden="false" customHeight="false" outlineLevel="0" collapsed="false">
      <c r="A39" s="3" t="s">
        <v>152</v>
      </c>
      <c r="B39" s="4"/>
      <c r="C39" s="4"/>
      <c r="D39" s="4"/>
      <c r="E39" s="4"/>
    </row>
    <row r="40" customFormat="false" ht="15" hidden="false" customHeight="false" outlineLevel="0" collapsed="false">
      <c r="A40" s="5" t="s">
        <v>153</v>
      </c>
      <c r="B40" s="26" t="n">
        <v>0.7</v>
      </c>
      <c r="C40" s="26" t="n">
        <v>0.7</v>
      </c>
      <c r="D40" s="26" t="n">
        <v>0.7</v>
      </c>
      <c r="E40" s="26" t="n">
        <v>0.7</v>
      </c>
    </row>
    <row r="41" customFormat="false" ht="15" hidden="false" customHeight="false" outlineLevel="0" collapsed="false">
      <c r="A41" s="5" t="s">
        <v>154</v>
      </c>
      <c r="B41" s="26" t="n">
        <v>5</v>
      </c>
      <c r="C41" s="26" t="n">
        <v>5</v>
      </c>
      <c r="D41" s="26" t="n">
        <v>5</v>
      </c>
      <c r="E41" s="26" t="n">
        <v>5</v>
      </c>
    </row>
    <row r="42" customFormat="false" ht="15" hidden="false" customHeight="false" outlineLevel="0" collapsed="false">
      <c r="A42" s="5" t="s">
        <v>155</v>
      </c>
      <c r="B42" s="10" t="n">
        <f aca="false">B21*B40</f>
        <v>669900</v>
      </c>
      <c r="C42" s="10" t="n">
        <f aca="false">C21*C40</f>
        <v>4689300</v>
      </c>
      <c r="D42" s="10" t="n">
        <f aca="false">D21*D40</f>
        <v>21436800</v>
      </c>
      <c r="E42" s="10" t="n">
        <f aca="false">E21*E40</f>
        <v>66990000</v>
      </c>
    </row>
    <row r="43" customFormat="false" ht="15" hidden="false" customHeight="false" outlineLevel="0" collapsed="false">
      <c r="A43" s="5" t="s">
        <v>156</v>
      </c>
      <c r="B43" s="10" t="n">
        <f aca="false">B21*B41</f>
        <v>4785000</v>
      </c>
      <c r="C43" s="10" t="n">
        <f aca="false">C21*C41</f>
        <v>33495000</v>
      </c>
      <c r="D43" s="10" t="n">
        <f aca="false">D21*D41</f>
        <v>153120000</v>
      </c>
      <c r="E43" s="10" t="n">
        <f aca="false">E21*E41</f>
        <v>478500000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A82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14" t="s">
        <v>82</v>
      </c>
      <c r="B3" s="14" t="s">
        <v>158</v>
      </c>
      <c r="C3" s="14" t="s">
        <v>159</v>
      </c>
      <c r="D3" s="14" t="s">
        <v>160</v>
      </c>
      <c r="E3" s="14" t="s">
        <v>161</v>
      </c>
    </row>
    <row r="5" customFormat="false" ht="15" hidden="false" customHeight="false" outlineLevel="0" collapsed="false">
      <c r="A5" s="3" t="s">
        <v>162</v>
      </c>
      <c r="B5" s="4"/>
      <c r="C5" s="4"/>
      <c r="D5" s="4"/>
      <c r="E5" s="4"/>
    </row>
    <row r="6" customFormat="false" ht="15" hidden="false" customHeight="false" outlineLevel="0" collapsed="false">
      <c r="A6" s="5" t="s">
        <v>163</v>
      </c>
      <c r="B6" s="18" t="n">
        <v>2500000000</v>
      </c>
      <c r="C6" s="18" t="n">
        <v>630000000</v>
      </c>
      <c r="D6" s="10" t="n">
        <f aca="false">B6+C6</f>
        <v>3130000000</v>
      </c>
      <c r="E6" s="2" t="s">
        <v>164</v>
      </c>
    </row>
    <row r="7" customFormat="false" ht="15" hidden="false" customHeight="false" outlineLevel="0" collapsed="false">
      <c r="A7" s="5" t="s">
        <v>165</v>
      </c>
      <c r="B7" s="24" t="n">
        <v>52000000</v>
      </c>
      <c r="C7" s="24" t="n">
        <v>9500000</v>
      </c>
      <c r="D7" s="15" t="n">
        <f aca="false">B7+C7</f>
        <v>61500000</v>
      </c>
      <c r="E7" s="2" t="s">
        <v>166</v>
      </c>
    </row>
    <row r="8" customFormat="false" ht="15" hidden="false" customHeight="false" outlineLevel="0" collapsed="false">
      <c r="A8" s="5" t="s">
        <v>167</v>
      </c>
      <c r="B8" s="15" t="n">
        <f aca="false">B7*0.65</f>
        <v>33800000</v>
      </c>
      <c r="C8" s="15" t="n">
        <f aca="false">C7*0.29</f>
        <v>2755000</v>
      </c>
      <c r="D8" s="15" t="n">
        <f aca="false">B8+C8</f>
        <v>36555000</v>
      </c>
      <c r="E8" s="2" t="s">
        <v>168</v>
      </c>
    </row>
    <row r="9" customFormat="false" ht="15" hidden="false" customHeight="false" outlineLevel="0" collapsed="false">
      <c r="A9" s="5" t="s">
        <v>169</v>
      </c>
      <c r="B9" s="24" t="n">
        <v>37000000</v>
      </c>
      <c r="C9" s="24" t="n">
        <v>10000000</v>
      </c>
      <c r="D9" s="15" t="n">
        <f aca="false">B9+C9</f>
        <v>47000000</v>
      </c>
      <c r="E9" s="2" t="s">
        <v>170</v>
      </c>
    </row>
    <row r="10" customFormat="false" ht="15" hidden="false" customHeight="false" outlineLevel="0" collapsed="false">
      <c r="A10" s="5" t="s">
        <v>171</v>
      </c>
      <c r="B10" s="15" t="n">
        <f aca="false">B9*0.22</f>
        <v>8140000</v>
      </c>
      <c r="C10" s="15" t="n">
        <f aca="false">C9*0.15</f>
        <v>1500000</v>
      </c>
      <c r="D10" s="15" t="n">
        <f aca="false">B10+C10</f>
        <v>9640000</v>
      </c>
      <c r="E10" s="2" t="s">
        <v>172</v>
      </c>
    </row>
    <row r="12" customFormat="false" ht="15" hidden="false" customHeight="false" outlineLevel="0" collapsed="false">
      <c r="A12" s="3" t="s">
        <v>173</v>
      </c>
      <c r="B12" s="4"/>
      <c r="C12" s="4"/>
      <c r="D12" s="4"/>
      <c r="E12" s="4"/>
    </row>
    <row r="13" customFormat="false" ht="15" hidden="false" customHeight="false" outlineLevel="0" collapsed="false">
      <c r="A13" s="5" t="s">
        <v>174</v>
      </c>
      <c r="B13" s="27" t="s">
        <v>175</v>
      </c>
    </row>
    <row r="14" customFormat="false" ht="15" hidden="false" customHeight="false" outlineLevel="0" collapsed="false">
      <c r="A14" s="5" t="s">
        <v>176</v>
      </c>
      <c r="B14" s="18" t="n">
        <v>150000000</v>
      </c>
      <c r="E14" s="2" t="s">
        <v>177</v>
      </c>
    </row>
    <row r="16" customFormat="false" ht="15" hidden="false" customHeight="false" outlineLevel="0" collapsed="false">
      <c r="A16" s="3" t="s">
        <v>178</v>
      </c>
      <c r="B16" s="4"/>
      <c r="C16" s="4"/>
      <c r="D16" s="4"/>
      <c r="E16" s="4"/>
    </row>
    <row r="17" customFormat="false" ht="15" hidden="false" customHeight="false" outlineLevel="0" collapsed="false">
      <c r="A17" s="5" t="s">
        <v>179</v>
      </c>
      <c r="B17" s="7" t="n">
        <v>0.02</v>
      </c>
    </row>
    <row r="18" customFormat="false" ht="15" hidden="false" customHeight="false" outlineLevel="0" collapsed="false">
      <c r="A18" s="5" t="s">
        <v>180</v>
      </c>
      <c r="B18" s="18" t="n">
        <v>3000000</v>
      </c>
      <c r="E18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042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5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182</v>
      </c>
    </row>
    <row r="3" customFormat="false" ht="26.85" hidden="false" customHeight="false" outlineLevel="0" collapsed="false">
      <c r="A3" s="28" t="s">
        <v>183</v>
      </c>
      <c r="B3" s="28" t="s">
        <v>184</v>
      </c>
      <c r="C3" s="28" t="s">
        <v>185</v>
      </c>
      <c r="D3" s="28" t="s">
        <v>186</v>
      </c>
      <c r="E3" s="28" t="s">
        <v>187</v>
      </c>
      <c r="F3" s="28" t="s">
        <v>188</v>
      </c>
      <c r="G3" s="28" t="s">
        <v>189</v>
      </c>
    </row>
    <row r="4" customFormat="false" ht="15" hidden="false" customHeight="false" outlineLevel="0" collapsed="false">
      <c r="A4" s="29" t="s">
        <v>190</v>
      </c>
      <c r="B4" s="29" t="s">
        <v>191</v>
      </c>
      <c r="C4" s="29" t="s">
        <v>192</v>
      </c>
      <c r="D4" s="29" t="s">
        <v>193</v>
      </c>
      <c r="E4" s="29" t="s">
        <v>194</v>
      </c>
      <c r="F4" s="29" t="s">
        <v>195</v>
      </c>
      <c r="G4" s="29" t="s">
        <v>196</v>
      </c>
    </row>
    <row r="5" customFormat="false" ht="15" hidden="false" customHeight="false" outlineLevel="0" collapsed="false">
      <c r="A5" s="30" t="s">
        <v>197</v>
      </c>
      <c r="B5" s="30" t="s">
        <v>198</v>
      </c>
      <c r="C5" s="30" t="s">
        <v>199</v>
      </c>
      <c r="D5" s="30" t="s">
        <v>200</v>
      </c>
      <c r="E5" s="30" t="s">
        <v>201</v>
      </c>
      <c r="F5" s="30" t="s">
        <v>202</v>
      </c>
      <c r="G5" s="30" t="s">
        <v>203</v>
      </c>
    </row>
    <row r="6" customFormat="false" ht="15" hidden="false" customHeight="false" outlineLevel="0" collapsed="false">
      <c r="A6" s="29" t="s">
        <v>204</v>
      </c>
      <c r="B6" s="29" t="s">
        <v>205</v>
      </c>
      <c r="C6" s="29" t="s">
        <v>206</v>
      </c>
      <c r="D6" s="29" t="s">
        <v>207</v>
      </c>
      <c r="E6" s="29" t="s">
        <v>208</v>
      </c>
      <c r="F6" s="29" t="s">
        <v>209</v>
      </c>
      <c r="G6" s="29" t="s">
        <v>210</v>
      </c>
    </row>
    <row r="7" customFormat="false" ht="15" hidden="false" customHeight="false" outlineLevel="0" collapsed="false">
      <c r="A7" s="30" t="s">
        <v>211</v>
      </c>
      <c r="B7" s="30" t="s">
        <v>212</v>
      </c>
      <c r="C7" s="30" t="s">
        <v>213</v>
      </c>
      <c r="D7" s="30" t="s">
        <v>214</v>
      </c>
      <c r="E7" s="30" t="s">
        <v>215</v>
      </c>
      <c r="F7" s="30" t="s">
        <v>216</v>
      </c>
      <c r="G7" s="30" t="s">
        <v>217</v>
      </c>
    </row>
    <row r="8" customFormat="false" ht="15" hidden="false" customHeight="false" outlineLevel="0" collapsed="false">
      <c r="A8" s="29" t="s">
        <v>218</v>
      </c>
      <c r="B8" s="29" t="s">
        <v>219</v>
      </c>
      <c r="C8" s="29" t="s">
        <v>220</v>
      </c>
      <c r="D8" s="29" t="s">
        <v>221</v>
      </c>
      <c r="E8" s="29" t="s">
        <v>222</v>
      </c>
      <c r="F8" s="29" t="s">
        <v>223</v>
      </c>
      <c r="G8" s="29" t="s">
        <v>224</v>
      </c>
    </row>
    <row r="9" customFormat="false" ht="15" hidden="false" customHeight="false" outlineLevel="0" collapsed="false">
      <c r="A9" s="30" t="s">
        <v>225</v>
      </c>
      <c r="B9" s="30" t="s">
        <v>226</v>
      </c>
      <c r="C9" s="30" t="s">
        <v>227</v>
      </c>
      <c r="D9" s="30" t="s">
        <v>228</v>
      </c>
      <c r="E9" s="30" t="s">
        <v>229</v>
      </c>
      <c r="F9" s="30" t="s">
        <v>230</v>
      </c>
      <c r="G9" s="30" t="s">
        <v>231</v>
      </c>
    </row>
    <row r="10" customFormat="false" ht="15" hidden="false" customHeight="false" outlineLevel="0" collapsed="false">
      <c r="A10" s="29" t="s">
        <v>232</v>
      </c>
      <c r="B10" s="29" t="s">
        <v>233</v>
      </c>
      <c r="C10" s="29" t="s">
        <v>234</v>
      </c>
      <c r="D10" s="29" t="s">
        <v>235</v>
      </c>
      <c r="E10" s="29" t="s">
        <v>236</v>
      </c>
      <c r="F10" s="29" t="s">
        <v>237</v>
      </c>
      <c r="G10" s="29" t="s">
        <v>238</v>
      </c>
    </row>
    <row r="11" customFormat="false" ht="15" hidden="false" customHeight="false" outlineLevel="0" collapsed="false">
      <c r="A11" s="30" t="s">
        <v>239</v>
      </c>
      <c r="B11" s="30" t="s">
        <v>240</v>
      </c>
      <c r="C11" s="30" t="s">
        <v>241</v>
      </c>
      <c r="D11" s="30" t="s">
        <v>242</v>
      </c>
      <c r="E11" s="30" t="s">
        <v>243</v>
      </c>
      <c r="F11" s="30" t="s">
        <v>244</v>
      </c>
      <c r="G11" s="30" t="s">
        <v>245</v>
      </c>
    </row>
    <row r="12" customFormat="false" ht="15" hidden="false" customHeight="false" outlineLevel="0" collapsed="false">
      <c r="A12" s="29" t="s">
        <v>246</v>
      </c>
      <c r="B12" s="29" t="s">
        <v>247</v>
      </c>
      <c r="C12" s="29" t="s">
        <v>248</v>
      </c>
      <c r="D12" s="29" t="s">
        <v>249</v>
      </c>
      <c r="E12" s="29" t="s">
        <v>250</v>
      </c>
      <c r="F12" s="29" t="s">
        <v>244</v>
      </c>
      <c r="G12" s="29" t="s">
        <v>251</v>
      </c>
    </row>
    <row r="13" customFormat="false" ht="15" hidden="false" customHeight="false" outlineLevel="0" collapsed="false">
      <c r="A13" s="31" t="s">
        <v>252</v>
      </c>
      <c r="B13" s="31" t="s">
        <v>253</v>
      </c>
      <c r="C13" s="31" t="s">
        <v>254</v>
      </c>
      <c r="D13" s="31" t="s">
        <v>255</v>
      </c>
      <c r="E13" s="31" t="s">
        <v>229</v>
      </c>
      <c r="F13" s="31" t="s">
        <v>256</v>
      </c>
      <c r="G13" s="31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2026-09-13T17:14:32Z</dcterms:created>
  <dc:creator>openpyxl</dc:creator>
  <dc:description/>
  <dc:language>en-US</dc:language>
  <cp:lastModifiedBy/>
  <dcterms:modified xsi:type="dcterms:W3CDTF">2026-09-13T17:14:32Z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